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ách công việc" sheetId="1" state="visible" r:id="rId3"/>
    <sheet name="Lịch theo tuần" sheetId="2" state="visible" r:id="rId4"/>
    <sheet name="Mốc &amp; Tiến độ" sheetId="3" state="visible" r:id="rId5"/>
  </sheets>
  <definedNames>
    <definedName function="false" hidden="true" localSheetId="0" name="_xlnm._FilterDatabase" vbProcedure="false">'Danh sách công việc'!$A$1:$I$54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<sst xmlns="http://schemas.openxmlformats.org/spreadsheetml/2006/main" count="533" uniqueCount="286">
  <si>
    <t xml:space="preserve">Mã</t>
  </si>
  <si>
    <t xml:space="preserve">Tuần</t>
  </si>
  <si>
    <t xml:space="preserve">Giai đoạn</t>
  </si>
  <si>
    <t xml:space="preserve">Thành viên</t>
  </si>
  <si>
    <t xml:space="preserve">Vai trò</t>
  </si>
  <si>
    <t xml:space="preserve">Đầu việc</t>
  </si>
  <si>
    <t xml:space="preserve">Output / Sản phẩm bàn giao</t>
  </si>
  <si>
    <t xml:space="preserve">Phụ thuộc</t>
  </si>
  <si>
    <t xml:space="preserve">Trạng thái</t>
  </si>
  <si>
    <t xml:space="preserve">AI-01</t>
  </si>
  <si>
    <t xml:space="preserve">P0 - Nền móng</t>
  </si>
  <si>
    <t xml:space="preserve">TV1</t>
  </si>
  <si>
    <t xml:space="preserve">AI/RAG</t>
  </si>
  <si>
    <t xml:space="preserve">Cài môi trường Python/FastAPI, khởi tạo project skeleton</t>
  </si>
  <si>
    <t xml:space="preserve">Repo ai-service chạy được, endpoint /health trả 200</t>
  </si>
  <si>
    <t xml:space="preserve">-</t>
  </si>
  <si>
    <t xml:space="preserve">Chưa bắt đầu</t>
  </si>
  <si>
    <t xml:space="preserve">AI-02</t>
  </si>
  <si>
    <t xml:space="preserve">Cài Ollama, tải Qwen/Llama, chạy thử inference &amp; benchmark latency</t>
  </si>
  <si>
    <t xml:space="preserve">Bảng benchmark latency 3-5 model, chọn model chạy Local</t>
  </si>
  <si>
    <t xml:space="preserve">AI-03</t>
  </si>
  <si>
    <t xml:space="preserve">Nghiên cứu &amp; chọn embedding model đa ngữ, POC embedding</t>
  </si>
  <si>
    <t xml:space="preserve">Báo cáo so sánh model, POC encode text-&gt;vector</t>
  </si>
  <si>
    <t xml:space="preserve">AI-04</t>
  </si>
  <si>
    <t xml:space="preserve">Thiết kế kiến trúc pipeline RAG &amp; chốt API contract với TV3</t>
  </si>
  <si>
    <t xml:space="preserve">Sơ đồ pipeline + API contract AI service (JSON)</t>
  </si>
  <si>
    <t xml:space="preserve">BE-03</t>
  </si>
  <si>
    <t xml:space="preserve">AI-05</t>
  </si>
  <si>
    <t xml:space="preserve">P1 - MVP</t>
  </si>
  <si>
    <t xml:space="preserve">Viết document loaders (PDF/Word/Excel) + làm sạch lỗi OCR</t>
  </si>
  <si>
    <t xml:space="preserve">Module đọc &amp; trích text sạch từ 3 định dạng</t>
  </si>
  <si>
    <t xml:space="preserve">AI-06</t>
  </si>
  <si>
    <t xml:space="preserve">Chunking (Recursive Character Text Splitter) + embedding -&gt; FAISS</t>
  </si>
  <si>
    <t xml:space="preserve">Upload tài liệu -&gt; chunk -&gt; lưu vector DB thành công</t>
  </si>
  <si>
    <t xml:space="preserve">AI-07</t>
  </si>
  <si>
    <t xml:space="preserve">Xây retrieval (similarity search) + luồng RAG cơ bản</t>
  </si>
  <si>
    <t xml:space="preserve">Hỏi -&gt; trả lời bám dữ liệu tài liệu upload</t>
  </si>
  <si>
    <t xml:space="preserve">AI-08</t>
  </si>
  <si>
    <t xml:space="preserve">P2 - Tính năng</t>
  </si>
  <si>
    <t xml:space="preserve">Tối ưu retrieval (top-k, metadata filter, re-rank tùy chọn)</t>
  </si>
  <si>
    <t xml:space="preserve">Retrieval chính xác hơn, có filter theo doanh nghiệp</t>
  </si>
  <si>
    <t xml:space="preserve">AI-09</t>
  </si>
  <si>
    <t xml:space="preserve">Streaming token từ LLM + hỗ trợ đa knowledge base (multi-tenant)</t>
  </si>
  <si>
    <t xml:space="preserve">API trả token streaming, tách kho tri thức theo tenant</t>
  </si>
  <si>
    <t xml:space="preserve">AI-10</t>
  </si>
  <si>
    <t xml:space="preserve">Đóng gói RAG thành service/tool cho Agent của TV2</t>
  </si>
  <si>
    <t xml:space="preserve">Agent gọi được RAG như 1 tool ổn định</t>
  </si>
  <si>
    <t xml:space="preserve">AI-09;AG-08</t>
  </si>
  <si>
    <t xml:space="preserve">AI-11</t>
  </si>
  <si>
    <t xml:space="preserve">P3 - Tích hợp</t>
  </si>
  <si>
    <t xml:space="preserve">Tích hợp AI service &lt;-&gt; Java backend, xử lý lỗi &amp; timeout</t>
  </si>
  <si>
    <t xml:space="preserve">Backend gọi AI service thành công, có retry/timeout</t>
  </si>
  <si>
    <t xml:space="preserve">BE-10;AI-10</t>
  </si>
  <si>
    <t xml:space="preserve">AI-12</t>
  </si>
  <si>
    <t xml:space="preserve">Test end-to-end từ FE, giảm latency, xử lý edge case</t>
  </si>
  <si>
    <t xml:space="preserve">Luồng FE-&gt;BE-&gt;AI chạy mượt, không lỗi biên</t>
  </si>
  <si>
    <t xml:space="preserve">AI-11;FE-11</t>
  </si>
  <si>
    <t xml:space="preserve">AI-13</t>
  </si>
  <si>
    <t xml:space="preserve">P4 - Kiểm thử+BC</t>
  </si>
  <si>
    <t xml:space="preserve">Đo latency phục vụ đánh giá hiệu năng (hỗ trợ TV2)</t>
  </si>
  <si>
    <t xml:space="preserve">Số liệu latency suy luận &amp; streaming cho báo cáo</t>
  </si>
  <si>
    <t xml:space="preserve">AI-14</t>
  </si>
  <si>
    <t xml:space="preserve">Viết chương RAG trong thuyết minh + chuẩn bị demo</t>
  </si>
  <si>
    <t xml:space="preserve">Chương RAG hoàn chỉnh + kịch bản demo phần AI</t>
  </si>
  <si>
    <t xml:space="preserve">AG-01</t>
  </si>
  <si>
    <t xml:space="preserve">TV2</t>
  </si>
  <si>
    <t xml:space="preserve">Agent/Eval</t>
  </si>
  <si>
    <t xml:space="preserve">Nghiên cứu framework multi-agent (LangGraph/CrewAI/custom)</t>
  </si>
  <si>
    <t xml:space="preserve">Báo cáo lựa chọn framework + lý do</t>
  </si>
  <si>
    <t xml:space="preserve">AG-02</t>
  </si>
  <si>
    <t xml:space="preserve">Thiết kế workflow 3 Agent + schema Pydantic cho JSON contract</t>
  </si>
  <si>
    <t xml:space="preserve">Sơ đồ workflow + file schema Pydantic bản nháp</t>
  </si>
  <si>
    <t xml:space="preserve">AG-03</t>
  </si>
  <si>
    <t xml:space="preserve">Agent trích xuất đặc trưng (Extracting Features) + prompt Persona</t>
  </si>
  <si>
    <t xml:space="preserve">Agent trả về danh sách đặc trưng sản phẩm từ vector DB</t>
  </si>
  <si>
    <t xml:space="preserve">AG-02;AI-06</t>
  </si>
  <si>
    <t xml:space="preserve">AG-04</t>
  </si>
  <si>
    <t xml:space="preserve">Agent sinh nội dung (Description Generating) + prompt Output Automater</t>
  </si>
  <si>
    <t xml:space="preserve">Sinh bài viết/caption theo cấu trúc lệnh (JSON)</t>
  </si>
  <si>
    <t xml:space="preserve">AG-05</t>
  </si>
  <si>
    <t xml:space="preserve">Agent hậu kiểm (Post-checking &amp; Editing) - Fact Check List &amp; Reflection</t>
  </si>
  <si>
    <t xml:space="preserve">Pipeline 3 Agent cho ra bài đã tự kiểm &amp; chỉnh sửa</t>
  </si>
  <si>
    <t xml:space="preserve">AG-04;AI-07</t>
  </si>
  <si>
    <t xml:space="preserve">AG-06</t>
  </si>
  <si>
    <t xml:space="preserve">Module AI lập kế hoạch tuần/tháng (theo mùa vụ + sản phẩm)</t>
  </si>
  <si>
    <t xml:space="preserve">AI đề xuất kế hoạch: sản phẩm, thông điệp, kênh</t>
  </si>
  <si>
    <t xml:space="preserve">AG-07</t>
  </si>
  <si>
    <t xml:space="preserve">Tích hợp long-tail keyword vào luồng sinh nội dung SEO</t>
  </si>
  <si>
    <t xml:space="preserve">Bài viết nhắm từ khóa đuôi dài, cải thiện SEO</t>
  </si>
  <si>
    <t xml:space="preserve">AG-08</t>
  </si>
  <si>
    <t xml:space="preserve">Ổn định JSON output bằng Pydantic + ghép với RAG của TV1</t>
  </si>
  <si>
    <t xml:space="preserve">Output JSON chuẩn 100%, không lỗi định dạng</t>
  </si>
  <si>
    <t xml:space="preserve">AG-07;AI-09</t>
  </si>
  <si>
    <t xml:space="preserve">AG-09</t>
  </si>
  <si>
    <t xml:space="preserve">Xây framework LLM-as-a-judge (Tính trung thực &amp; Phù hợp ngữ cảnh)</t>
  </si>
  <si>
    <t xml:space="preserve">Script chấm điểm tự động theo tiêu chí, có kết quả mẫu</t>
  </si>
  <si>
    <t xml:space="preserve">AG-10</t>
  </si>
  <si>
    <t xml:space="preserve">Tích hợp Ahrefs API để chấm điểm SEO tự động</t>
  </si>
  <si>
    <t xml:space="preserve">Điểm SEO tự động cho từng bài viết sinh ra</t>
  </si>
  <si>
    <t xml:space="preserve">AG-11</t>
  </si>
  <si>
    <t xml:space="preserve">Thiết kế &amp; chạy so sánh RAG vs LLM thuần (đo tỷ lệ ảo giác)</t>
  </si>
  <si>
    <t xml:space="preserve">Bảng số liệu chứng minh RAG giảm ảo giác</t>
  </si>
  <si>
    <t xml:space="preserve">AG-09;AG-10</t>
  </si>
  <si>
    <t xml:space="preserve">AG-12</t>
  </si>
  <si>
    <t xml:space="preserve">Chạy full thí nghiệm, thu thập số liệu, vẽ biểu đồ</t>
  </si>
  <si>
    <t xml:space="preserve">Bộ kết quả đánh giá + biểu đồ hoàn chỉnh</t>
  </si>
  <si>
    <t xml:space="preserve">AG-11;AI-13</t>
  </si>
  <si>
    <t xml:space="preserve">AG-13</t>
  </si>
  <si>
    <t xml:space="preserve">Viết chương đánh giá/kiểm thử + demo</t>
  </si>
  <si>
    <t xml:space="preserve">Chương phương pháp &amp; kết quả đánh giá</t>
  </si>
  <si>
    <t xml:space="preserve">BE-01</t>
  </si>
  <si>
    <t xml:space="preserve">TV3</t>
  </si>
  <si>
    <t xml:space="preserve">Backend</t>
  </si>
  <si>
    <t xml:space="preserve">Khởi tạo Spring Boot project + cấu hình MySQL</t>
  </si>
  <si>
    <t xml:space="preserve">Backend chạy, kết nối MySQL thành công</t>
  </si>
  <si>
    <t xml:space="preserve">BE-02</t>
  </si>
  <si>
    <t xml:space="preserve">Thiết kế schema DB + ERD (users, businesses, campaigns, posts, KB, feedback)</t>
  </si>
  <si>
    <t xml:space="preserve">File ERD + script tạo bảng</t>
  </si>
  <si>
    <t xml:space="preserve">Chốt &amp; tài liệu hóa API contract (REST) với cả nhóm</t>
  </si>
  <si>
    <t xml:space="preserve">Tài liệu API contract dùng chung cho FE/AI</t>
  </si>
  <si>
    <t xml:space="preserve">BE-04</t>
  </si>
  <si>
    <t xml:space="preserve">Cài JWT Access/Refresh Token + chống XSS</t>
  </si>
  <si>
    <t xml:space="preserve">Đăng nhập trả token, refresh hoạt động</t>
  </si>
  <si>
    <t xml:space="preserve">BE-05</t>
  </si>
  <si>
    <t xml:space="preserve">Quản lý user/RBAC + CRUD chiến dịch &amp; bài đăng</t>
  </si>
  <si>
    <t xml:space="preserve">API CRUD đầy đủ, phân quyền theo vai trò</t>
  </si>
  <si>
    <t xml:space="preserve">BE-06</t>
  </si>
  <si>
    <t xml:space="preserve">Tích hợp Amazon S3 + luồng forward file sang AI service</t>
  </si>
  <si>
    <t xml:space="preserve">Upload file -&gt; lưu S3 -&gt; gửi AI service xử lý</t>
  </si>
  <si>
    <t xml:space="preserve">BE-05;AI-05</t>
  </si>
  <si>
    <t xml:space="preserve">BE-07</t>
  </si>
  <si>
    <t xml:space="preserve">WebSocket + STOMP streaming nội dung AI -&gt; frontend</t>
  </si>
  <si>
    <t xml:space="preserve">Kênh realtime đẩy token AI tới FE</t>
  </si>
  <si>
    <t xml:space="preserve">BE-06;AI-09</t>
  </si>
  <si>
    <t xml:space="preserve">BE-08</t>
  </si>
  <si>
    <t xml:space="preserve">Module scheduler (lịch chiến dịch, cron đăng bài theo lịch)</t>
  </si>
  <si>
    <t xml:space="preserve">API lịch + job chạy đúng thời điểm</t>
  </si>
  <si>
    <t xml:space="preserve">BE-09</t>
  </si>
  <si>
    <t xml:space="preserve">Điều phối gọi AI (kế hoạch/sinh bài) async + lưu Golden Sample/feedback</t>
  </si>
  <si>
    <t xml:space="preserve">Backend orchestrate full luồng sinh bài</t>
  </si>
  <si>
    <t xml:space="preserve">BE-08;AG-08</t>
  </si>
  <si>
    <t xml:space="preserve">BE-10</t>
  </si>
  <si>
    <t xml:space="preserve">Tích hợp AI + FE + trigger auto-posting, xử lý transaction</t>
  </si>
  <si>
    <t xml:space="preserve">Luồng nghiệp vụ end-to-end thông suốt</t>
  </si>
  <si>
    <t xml:space="preserve">BE-11</t>
  </si>
  <si>
    <t xml:space="preserve">Hoàn thiện xử lý lỗi, retry, đảm bảo toàn vẹn dữ liệu (ACID)</t>
  </si>
  <si>
    <t xml:space="preserve">Hệ thống bền vững, không mất/hỏng dữ liệu</t>
  </si>
  <si>
    <t xml:space="preserve">BE-12</t>
  </si>
  <si>
    <t xml:space="preserve">Test tải/ổn định + viết tài liệu API (Swagger)</t>
  </si>
  <si>
    <t xml:space="preserve">Báo cáo test tải + Swagger docs</t>
  </si>
  <si>
    <t xml:space="preserve">BE-13</t>
  </si>
  <si>
    <t xml:space="preserve">Viết chương kiến trúc/backend + demo</t>
  </si>
  <si>
    <t xml:space="preserve">Chương kiến trúc hệ thống hoàn chỉnh</t>
  </si>
  <si>
    <t xml:space="preserve">FE-01</t>
  </si>
  <si>
    <t xml:space="preserve">TV4</t>
  </si>
  <si>
    <t xml:space="preserve">FE/DevOps</t>
  </si>
  <si>
    <t xml:space="preserve">Khởi tạo React/Vite + kiến trúc component + routing + design system</t>
  </si>
  <si>
    <t xml:space="preserve">Khung FE chạy, routing &amp; design system cơ bản</t>
  </si>
  <si>
    <t xml:space="preserve">FE-02</t>
  </si>
  <si>
    <t xml:space="preserve">Dựng docker-compose chạy khung 3 service (AI/BE/FE)</t>
  </si>
  <si>
    <t xml:space="preserve">docker-compose up chạy đồng thời 3 service</t>
  </si>
  <si>
    <t xml:space="preserve">AI-01;BE-01</t>
  </si>
  <si>
    <t xml:space="preserve">FE-03</t>
  </si>
  <si>
    <t xml:space="preserve">Vẽ wireframe/UI cho toàn bộ luồng</t>
  </si>
  <si>
    <t xml:space="preserve">Bộ wireframe các màn chính (Figma/ảnh)</t>
  </si>
  <si>
    <t xml:space="preserve">FE-04</t>
  </si>
  <si>
    <t xml:space="preserve">UI Auth (login/register) nối JWT backend</t>
  </si>
  <si>
    <t xml:space="preserve">Đăng nhập/đăng ký hoạt động với token</t>
  </si>
  <si>
    <t xml:space="preserve">FE-03;BE-04</t>
  </si>
  <si>
    <t xml:space="preserve">FE-05</t>
  </si>
  <si>
    <t xml:space="preserve">Layout dashboard + màn upload tri thức (knowledge base)</t>
  </si>
  <si>
    <t xml:space="preserve">Dashboard + upload file nối backend</t>
  </si>
  <si>
    <t xml:space="preserve">FE-04;BE-06</t>
  </si>
  <si>
    <t xml:space="preserve">FE-06</t>
  </si>
  <si>
    <t xml:space="preserve">Màn lập kế hoạch chiến dịch + trình soạn thảo nội dung</t>
  </si>
  <si>
    <t xml:space="preserve">UI kế hoạch + editor bài viết</t>
  </si>
  <si>
    <t xml:space="preserve">FE-07</t>
  </si>
  <si>
    <t xml:space="preserve">STOMP client hiển thị streaming realtime (giống ChatGPT)</t>
  </si>
  <si>
    <t xml:space="preserve">Chữ AI hiện dần theo thời gian thực trên UI</t>
  </si>
  <si>
    <t xml:space="preserve">FE-06;BE-07</t>
  </si>
  <si>
    <t xml:space="preserve">FE-08</t>
  </si>
  <si>
    <t xml:space="preserve">React Helmet Async - metadata động cho SEO/social preview</t>
  </si>
  <si>
    <t xml:space="preserve">Xem trước hoàn hảo khi share bài lên MXH</t>
  </si>
  <si>
    <t xml:space="preserve">FE-09</t>
  </si>
  <si>
    <t xml:space="preserve">Pipeline Auto-Posting: Google Sheets -&gt; webhook/router -&gt; Facebook Pages API</t>
  </si>
  <si>
    <t xml:space="preserve">Bài duyệt -&gt; tự đăng lên Facebook Page</t>
  </si>
  <si>
    <t xml:space="preserve">FE-08;AG-08</t>
  </si>
  <si>
    <t xml:space="preserve">FE-10</t>
  </si>
  <si>
    <t xml:space="preserve">Workflow duyệt bài + UI ghi nhận feedback (Golden Sample)</t>
  </si>
  <si>
    <t xml:space="preserve">Admin duyệt/sửa bài, hệ thống lưu chỉnh sửa</t>
  </si>
  <si>
    <t xml:space="preserve">FE-09;BE-09</t>
  </si>
  <si>
    <t xml:space="preserve">FE-11</t>
  </si>
  <si>
    <t xml:space="preserve">Hoàn thiện auto-post theo lịch (nối scheduler backend) + polish UI</t>
  </si>
  <si>
    <t xml:space="preserve">Auto-post đúng lịch trình, UI hoàn thiện</t>
  </si>
  <si>
    <t xml:space="preserve">FE-10;BE-08</t>
  </si>
  <si>
    <t xml:space="preserve">FE-12</t>
  </si>
  <si>
    <t xml:space="preserve">Triển khai (deploy VPS) + hoàn thiện Docker</t>
  </si>
  <si>
    <t xml:space="preserve">Sản phẩm chạy trên server công khai</t>
  </si>
  <si>
    <t xml:space="preserve">FE-11;BE-12</t>
  </si>
  <si>
    <t xml:space="preserve">FE-13</t>
  </si>
  <si>
    <t xml:space="preserve">Viết chương FE/deploy + chuẩn bị demo</t>
  </si>
  <si>
    <t xml:space="preserve">Chương FE &amp; triển khai + kịch bản demo</t>
  </si>
  <si>
    <t xml:space="preserve">TV1 - AI/RAG</t>
  </si>
  <si>
    <t xml:space="preserve">TV2 - Agent/Eval</t>
  </si>
  <si>
    <t xml:space="preserve">TV3 - Backend</t>
  </si>
  <si>
    <t xml:space="preserve">TV4 - FE/DevOps</t>
  </si>
  <si>
    <t xml:space="preserve">Tuần 1</t>
  </si>
  <si>
    <t xml:space="preserve">[AI-01] Cài môi trường Python/FastAPI, khởi tạo project skeleton
[AI-02] Cài Ollama, tải Qwen/Llama, chạy thử inference &amp; benchmark latency</t>
  </si>
  <si>
    <t xml:space="preserve">[AG-01] Nghiên cứu framework multi-agent (LangGraph/CrewAI/custom)</t>
  </si>
  <si>
    <t xml:space="preserve">[BE-01] Khởi tạo Spring Boot project + cấu hình MySQL</t>
  </si>
  <si>
    <t xml:space="preserve">[FE-01] Khởi tạo React/Vite + kiến trúc component + routing + design system
[FE-02] Dựng docker-compose chạy khung 3 service (AI/BE/FE)</t>
  </si>
  <si>
    <t xml:space="preserve">Tuần 2</t>
  </si>
  <si>
    <t xml:space="preserve">[AI-03] Nghiên cứu &amp; chọn embedding model đa ngữ, POC embedding
[AI-04] Thiết kế kiến trúc pipeline RAG &amp; chốt API contract với TV3</t>
  </si>
  <si>
    <t xml:space="preserve">[AG-02] Thiết kế workflow 3 Agent + schema Pydantic cho JSON contract</t>
  </si>
  <si>
    <t xml:space="preserve">[BE-02] Thiết kế schema DB + ERD (users, businesses, campaigns, posts, KB, feedback)
[BE-03] Chốt &amp; tài liệu hóa API contract (REST) với cả nhóm</t>
  </si>
  <si>
    <t xml:space="preserve">[FE-03] Vẽ wireframe/UI cho toàn bộ luồng</t>
  </si>
  <si>
    <t xml:space="preserve">Tuần 3</t>
  </si>
  <si>
    <t xml:space="preserve">[AI-05] Viết document loaders (PDF/Word/Excel) + làm sạch lỗi OCR</t>
  </si>
  <si>
    <t xml:space="preserve">[AG-03] Agent trích xuất đặc trưng (Extracting Features) + prompt Persona</t>
  </si>
  <si>
    <t xml:space="preserve">[BE-04] Cài JWT Access/Refresh Token + chống XSS</t>
  </si>
  <si>
    <t xml:space="preserve">[FE-04] UI Auth (login/register) nối JWT backend</t>
  </si>
  <si>
    <t xml:space="preserve">Tuần 4</t>
  </si>
  <si>
    <t xml:space="preserve">[AI-06] Chunking (Recursive Character Text Splitter) + embedding -&gt; FAISS</t>
  </si>
  <si>
    <t xml:space="preserve">[AG-04] Agent sinh nội dung (Description Generating) + prompt Output Automater</t>
  </si>
  <si>
    <t xml:space="preserve">[BE-05] Quản lý user/RBAC + CRUD chiến dịch &amp; bài đăng</t>
  </si>
  <si>
    <t xml:space="preserve">[FE-05] Layout dashboard + màn upload tri thức (knowledge base)</t>
  </si>
  <si>
    <t xml:space="preserve">Tuần 5</t>
  </si>
  <si>
    <t xml:space="preserve">[AI-07] Xây retrieval (similarity search) + luồng RAG cơ bản</t>
  </si>
  <si>
    <t xml:space="preserve">[AG-05] Agent hậu kiểm (Post-checking &amp; Editing) - Fact Check List &amp; Reflection</t>
  </si>
  <si>
    <t xml:space="preserve">[BE-06] Tích hợp Amazon S3 + luồng forward file sang AI service</t>
  </si>
  <si>
    <t xml:space="preserve">[FE-06] Màn lập kế hoạch chiến dịch + trình soạn thảo nội dung</t>
  </si>
  <si>
    <t xml:space="preserve">Tuần 6</t>
  </si>
  <si>
    <t xml:space="preserve">[AI-08] Tối ưu retrieval (top-k, metadata filter, re-rank tùy chọn)</t>
  </si>
  <si>
    <t xml:space="preserve">[AG-06] Module AI lập kế hoạch tuần/tháng (theo mùa vụ + sản phẩm)</t>
  </si>
  <si>
    <t xml:space="preserve">[BE-07] WebSocket + STOMP streaming nội dung AI -&gt; frontend</t>
  </si>
  <si>
    <t xml:space="preserve">[FE-07] STOMP client hiển thị streaming realtime (giống ChatGPT)</t>
  </si>
  <si>
    <t xml:space="preserve">Tuần 7</t>
  </si>
  <si>
    <t xml:space="preserve">[AI-09] Streaming token từ LLM + hỗ trợ đa knowledge base (multi-tenant)</t>
  </si>
  <si>
    <t xml:space="preserve">[AG-07] Tích hợp long-tail keyword vào luồng sinh nội dung SEO</t>
  </si>
  <si>
    <t xml:space="preserve">[BE-08] Module scheduler (lịch chiến dịch, cron đăng bài theo lịch)</t>
  </si>
  <si>
    <t xml:space="preserve">[FE-08] React Helmet Async - metadata động cho SEO/social preview</t>
  </si>
  <si>
    <t xml:space="preserve">Tuần 8</t>
  </si>
  <si>
    <t xml:space="preserve">[AI-10] Đóng gói RAG thành service/tool cho Agent của TV2</t>
  </si>
  <si>
    <t xml:space="preserve">[AG-08] Ổn định JSON output bằng Pydantic + ghép với RAG của TV1</t>
  </si>
  <si>
    <t xml:space="preserve">[BE-09] Điều phối gọi AI (kế hoạch/sinh bài) async + lưu Golden Sample/feedback</t>
  </si>
  <si>
    <t xml:space="preserve">[FE-09] Pipeline Auto-Posting: Google Sheets -&gt; webhook/router -&gt; Facebook Pages API</t>
  </si>
  <si>
    <t xml:space="preserve">Tuần 9</t>
  </si>
  <si>
    <t xml:space="preserve">[AI-11] Tích hợp AI service &lt;-&gt; Java backend, xử lý lỗi &amp; timeout</t>
  </si>
  <si>
    <t xml:space="preserve">[AG-09] Xây framework LLM-as-a-judge (Tính trung thực &amp; Phù hợp ngữ cảnh)
[AG-10] Tích hợp Ahrefs API để chấm điểm SEO tự động</t>
  </si>
  <si>
    <t xml:space="preserve">[BE-10] Tích hợp AI + FE + trigger auto-posting, xử lý transaction</t>
  </si>
  <si>
    <t xml:space="preserve">[FE-10] Workflow duyệt bài + UI ghi nhận feedback (Golden Sample)</t>
  </si>
  <si>
    <t xml:space="preserve">Tuần 10</t>
  </si>
  <si>
    <t xml:space="preserve">[AI-12] Test end-to-end từ FE, giảm latency, xử lý edge case</t>
  </si>
  <si>
    <t xml:space="preserve">[AG-11] Thiết kế &amp; chạy so sánh RAG vs LLM thuần (đo tỷ lệ ảo giác)</t>
  </si>
  <si>
    <t xml:space="preserve">[BE-11] Hoàn thiện xử lý lỗi, retry, đảm bảo toàn vẹn dữ liệu (ACID)</t>
  </si>
  <si>
    <t xml:space="preserve">[FE-11] Hoàn thiện auto-post theo lịch (nối scheduler backend) + polish UI</t>
  </si>
  <si>
    <t xml:space="preserve">Tuần 11</t>
  </si>
  <si>
    <t xml:space="preserve">[AI-13] Đo latency phục vụ đánh giá hiệu năng (hỗ trợ TV2)</t>
  </si>
  <si>
    <t xml:space="preserve">[AG-12] Chạy full thí nghiệm, thu thập số liệu, vẽ biểu đồ</t>
  </si>
  <si>
    <t xml:space="preserve">[BE-12] Test tải/ổn định + viết tài liệu API (Swagger)</t>
  </si>
  <si>
    <t xml:space="preserve">[FE-12] Triển khai (deploy VPS) + hoàn thiện Docker</t>
  </si>
  <si>
    <t xml:space="preserve">Tuần 12</t>
  </si>
  <si>
    <t xml:space="preserve">[AI-14] Viết chương RAG trong thuyết minh + chuẩn bị demo</t>
  </si>
  <si>
    <t xml:space="preserve">[AG-13] Viết chương đánh giá/kiểm thử + demo</t>
  </si>
  <si>
    <t xml:space="preserve">[BE-13] Viết chương kiến trúc/backend + demo</t>
  </si>
  <si>
    <t xml:space="preserve">[FE-13] Viết chương FE/deploy + chuẩn bị demo</t>
  </si>
  <si>
    <t xml:space="preserve">MỐC QUAN TRỌNG (MILESTONES)</t>
  </si>
  <si>
    <t xml:space="preserve">Mốc</t>
  </si>
  <si>
    <t xml:space="preserve">Mục tiêu</t>
  </si>
  <si>
    <t xml:space="preserve">Cuối Tuần 2</t>
  </si>
  <si>
    <t xml:space="preserve">Kiến trúc + API contract + repo + docker-compose chạy khung 3 service</t>
  </si>
  <si>
    <t xml:space="preserve">Cuối Tuần 5</t>
  </si>
  <si>
    <t xml:space="preserve">MVP: upload tài liệu -&gt; RAG trả lời có dẫn chứng; Auth + upload trên UI</t>
  </si>
  <si>
    <t xml:space="preserve">Cuối Tuần 8</t>
  </si>
  <si>
    <t xml:space="preserve">Sinh bài hoàn chỉnh qua 3 Agent; streaming realtime lên UI</t>
  </si>
  <si>
    <t xml:space="preserve">Cuối Tuần 10</t>
  </si>
  <si>
    <t xml:space="preserve">Full luồng: upload -&gt; kế hoạch -&gt; sinh bài -&gt; duyệt -&gt; auto-post Facebook</t>
  </si>
  <si>
    <t xml:space="preserve">Cuối Tuần 12</t>
  </si>
  <si>
    <t xml:space="preserve">Kết quả đánh giá + thuyết minh + demo</t>
  </si>
  <si>
    <t xml:space="preserve">THEO DÕI TIẾN ĐỘ</t>
  </si>
  <si>
    <t xml:space="preserve">Số lượng</t>
  </si>
  <si>
    <t xml:space="preserve">Đang làm</t>
  </si>
  <si>
    <t xml:space="preserve">Đã xong</t>
  </si>
  <si>
    <t xml:space="preserve">Trễ</t>
  </si>
  <si>
    <t xml:space="preserve">Tổng cộng</t>
  </si>
  <si>
    <t xml:space="preserve">% Hoàn thành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</si>
</sst>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0"/>
      <color rgb="FF1F4E78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AF1FB"/>
      </patternFill>
    </fill>
    <fill>
      <patternFill patternType="solid">
        <fgColor rgb="FFBDD7EE"/>
        <bgColor rgb="FFC6E0B4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DE2"/>
      </patternFill>
    </fill>
    <fill>
      <patternFill patternType="solid">
        <fgColor rgb="FFFCE4D6"/>
        <bgColor rgb="FFFCEDE2"/>
      </patternFill>
    </fill>
    <fill>
      <patternFill patternType="solid">
        <fgColor rgb="FFEDEDED"/>
        <bgColor rgb="FFEAF1FB"/>
      </patternFill>
    </fill>
    <fill>
      <patternFill patternType="solid">
        <fgColor rgb="FFC6E0B4"/>
        <bgColor rgb="FFBDD7EE"/>
      </patternFill>
    </fill>
    <fill>
      <patternFill patternType="solid">
        <fgColor rgb="FFFFE699"/>
        <bgColor rgb="FFFFF2CC"/>
      </patternFill>
    </fill>
    <fill>
      <patternFill patternType="solid">
        <fgColor rgb="FFF4B183"/>
        <bgColor rgb="FFBFBFBF"/>
      </patternFill>
    </fill>
    <fill>
      <patternFill patternType="solid">
        <fgColor rgb="FFEAF1FB"/>
        <bgColor rgb="FFEDEDED"/>
      </patternFill>
    </fill>
    <fill>
      <patternFill patternType="solid">
        <fgColor rgb="FFEEF6E8"/>
        <bgColor rgb="FFEDEDED"/>
      </patternFill>
    </fill>
    <fill>
      <patternFill patternType="solid">
        <fgColor rgb="FFFFF8E6"/>
        <bgColor rgb="FFFCEDE2"/>
      </patternFill>
    </fill>
    <fill>
      <patternFill patternType="solid">
        <fgColor rgb="FFFCEDE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DE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8E6"/>
      <rgbColor rgb="FF00FFFF"/>
      <rgbColor rgb="FF800080"/>
      <rgbColor rgb="FF800000"/>
      <rgbColor rgb="FF008080"/>
      <rgbColor rgb="FF0000FF"/>
      <rgbColor rgb="FF00CCFF"/>
      <rgbColor rgb="FFEAF1FB"/>
      <rgbColor rgb="FFE2EFDA"/>
      <rgbColor rgb="FFFFE699"/>
      <rgbColor rgb="FFC6E0B4"/>
      <rgbColor rgb="FFFCE4D6"/>
      <rgbColor rgb="FFEDEDED"/>
      <rgbColor rgb="FFF4B183"/>
      <rgbColor rgb="FF3366FF"/>
      <rgbColor rgb="FF33CCCC"/>
      <rgbColor rgb="FF99CC00"/>
      <rgbColor rgb="FFEEF6E8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7" min="6" style="0" width="42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n">
        <v>1</v>
      </c>
      <c r="C2" s="3" t="s">
        <v>10</v>
      </c>
      <c r="D2" s="4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2" t="s">
        <v>16</v>
      </c>
    </row>
    <row r="3" customFormat="false" ht="23.85" hidden="false" customHeight="false" outlineLevel="0" collapsed="false">
      <c r="A3" s="2" t="s">
        <v>17</v>
      </c>
      <c r="B3" s="2" t="n">
        <v>1</v>
      </c>
      <c r="C3" s="3" t="s">
        <v>10</v>
      </c>
      <c r="D3" s="4" t="s">
        <v>11</v>
      </c>
      <c r="E3" s="5" t="s">
        <v>12</v>
      </c>
      <c r="F3" s="5" t="s">
        <v>18</v>
      </c>
      <c r="G3" s="5" t="s">
        <v>19</v>
      </c>
      <c r="H3" s="5" t="s">
        <v>15</v>
      </c>
      <c r="I3" s="2" t="s">
        <v>16</v>
      </c>
    </row>
    <row r="4" customFormat="false" ht="23.85" hidden="false" customHeight="false" outlineLevel="0" collapsed="false">
      <c r="A4" s="2" t="s">
        <v>20</v>
      </c>
      <c r="B4" s="2" t="n">
        <v>2</v>
      </c>
      <c r="C4" s="3" t="s">
        <v>10</v>
      </c>
      <c r="D4" s="4" t="s">
        <v>11</v>
      </c>
      <c r="E4" s="5" t="s">
        <v>12</v>
      </c>
      <c r="F4" s="5" t="s">
        <v>21</v>
      </c>
      <c r="G4" s="5" t="s">
        <v>22</v>
      </c>
      <c r="H4" s="5" t="s">
        <v>9</v>
      </c>
      <c r="I4" s="2" t="s">
        <v>16</v>
      </c>
    </row>
    <row r="5" customFormat="false" ht="23.85" hidden="false" customHeight="false" outlineLevel="0" collapsed="false">
      <c r="A5" s="2" t="s">
        <v>23</v>
      </c>
      <c r="B5" s="2" t="n">
        <v>2</v>
      </c>
      <c r="C5" s="3" t="s">
        <v>10</v>
      </c>
      <c r="D5" s="4" t="s">
        <v>11</v>
      </c>
      <c r="E5" s="5" t="s">
        <v>12</v>
      </c>
      <c r="F5" s="5" t="s">
        <v>24</v>
      </c>
      <c r="G5" s="5" t="s">
        <v>25</v>
      </c>
      <c r="H5" s="5" t="s">
        <v>26</v>
      </c>
      <c r="I5" s="2" t="s">
        <v>16</v>
      </c>
    </row>
    <row r="6" customFormat="false" ht="23.85" hidden="false" customHeight="false" outlineLevel="0" collapsed="false">
      <c r="A6" s="2" t="s">
        <v>27</v>
      </c>
      <c r="B6" s="2" t="n">
        <v>3</v>
      </c>
      <c r="C6" s="6" t="s">
        <v>28</v>
      </c>
      <c r="D6" s="4" t="s">
        <v>11</v>
      </c>
      <c r="E6" s="5" t="s">
        <v>12</v>
      </c>
      <c r="F6" s="5" t="s">
        <v>29</v>
      </c>
      <c r="G6" s="5" t="s">
        <v>30</v>
      </c>
      <c r="H6" s="5" t="s">
        <v>23</v>
      </c>
      <c r="I6" s="2" t="s">
        <v>16</v>
      </c>
    </row>
    <row r="7" customFormat="false" ht="23.85" hidden="false" customHeight="false" outlineLevel="0" collapsed="false">
      <c r="A7" s="2" t="s">
        <v>31</v>
      </c>
      <c r="B7" s="2" t="n">
        <v>4</v>
      </c>
      <c r="C7" s="6" t="s">
        <v>28</v>
      </c>
      <c r="D7" s="4" t="s">
        <v>11</v>
      </c>
      <c r="E7" s="5" t="s">
        <v>12</v>
      </c>
      <c r="F7" s="5" t="s">
        <v>32</v>
      </c>
      <c r="G7" s="5" t="s">
        <v>33</v>
      </c>
      <c r="H7" s="5" t="s">
        <v>27</v>
      </c>
      <c r="I7" s="2" t="s">
        <v>16</v>
      </c>
    </row>
    <row r="8" customFormat="false" ht="23.85" hidden="false" customHeight="false" outlineLevel="0" collapsed="false">
      <c r="A8" s="2" t="s">
        <v>34</v>
      </c>
      <c r="B8" s="2" t="n">
        <v>5</v>
      </c>
      <c r="C8" s="6" t="s">
        <v>28</v>
      </c>
      <c r="D8" s="4" t="s">
        <v>11</v>
      </c>
      <c r="E8" s="5" t="s">
        <v>12</v>
      </c>
      <c r="F8" s="5" t="s">
        <v>35</v>
      </c>
      <c r="G8" s="5" t="s">
        <v>36</v>
      </c>
      <c r="H8" s="5" t="s">
        <v>31</v>
      </c>
      <c r="I8" s="2" t="s">
        <v>16</v>
      </c>
    </row>
    <row r="9" customFormat="false" ht="23.85" hidden="false" customHeight="false" outlineLevel="0" collapsed="false">
      <c r="A9" s="2" t="s">
        <v>37</v>
      </c>
      <c r="B9" s="2" t="n">
        <v>6</v>
      </c>
      <c r="C9" s="7" t="s">
        <v>38</v>
      </c>
      <c r="D9" s="4" t="s">
        <v>11</v>
      </c>
      <c r="E9" s="5" t="s">
        <v>12</v>
      </c>
      <c r="F9" s="5" t="s">
        <v>39</v>
      </c>
      <c r="G9" s="5" t="s">
        <v>40</v>
      </c>
      <c r="H9" s="5" t="s">
        <v>34</v>
      </c>
      <c r="I9" s="2" t="s">
        <v>16</v>
      </c>
    </row>
    <row r="10" customFormat="false" ht="23.85" hidden="false" customHeight="false" outlineLevel="0" collapsed="false">
      <c r="A10" s="2" t="s">
        <v>41</v>
      </c>
      <c r="B10" s="2" t="n">
        <v>7</v>
      </c>
      <c r="C10" s="7" t="s">
        <v>38</v>
      </c>
      <c r="D10" s="4" t="s">
        <v>11</v>
      </c>
      <c r="E10" s="5" t="s">
        <v>12</v>
      </c>
      <c r="F10" s="5" t="s">
        <v>42</v>
      </c>
      <c r="G10" s="5" t="s">
        <v>43</v>
      </c>
      <c r="H10" s="5" t="s">
        <v>37</v>
      </c>
      <c r="I10" s="2" t="s">
        <v>16</v>
      </c>
    </row>
    <row r="11" customFormat="false" ht="23.85" hidden="false" customHeight="false" outlineLevel="0" collapsed="false">
      <c r="A11" s="2" t="s">
        <v>44</v>
      </c>
      <c r="B11" s="2" t="n">
        <v>8</v>
      </c>
      <c r="C11" s="7" t="s">
        <v>38</v>
      </c>
      <c r="D11" s="4" t="s">
        <v>11</v>
      </c>
      <c r="E11" s="5" t="s">
        <v>12</v>
      </c>
      <c r="F11" s="5" t="s">
        <v>45</v>
      </c>
      <c r="G11" s="5" t="s">
        <v>46</v>
      </c>
      <c r="H11" s="5" t="s">
        <v>47</v>
      </c>
      <c r="I11" s="2" t="s">
        <v>16</v>
      </c>
    </row>
    <row r="12" customFormat="false" ht="23.85" hidden="false" customHeight="false" outlineLevel="0" collapsed="false">
      <c r="A12" s="2" t="s">
        <v>48</v>
      </c>
      <c r="B12" s="2" t="n">
        <v>9</v>
      </c>
      <c r="C12" s="8" t="s">
        <v>49</v>
      </c>
      <c r="D12" s="4" t="s">
        <v>11</v>
      </c>
      <c r="E12" s="5" t="s">
        <v>12</v>
      </c>
      <c r="F12" s="5" t="s">
        <v>50</v>
      </c>
      <c r="G12" s="5" t="s">
        <v>51</v>
      </c>
      <c r="H12" s="5" t="s">
        <v>52</v>
      </c>
      <c r="I12" s="2" t="s">
        <v>16</v>
      </c>
    </row>
    <row r="13" customFormat="false" ht="23.85" hidden="false" customHeight="false" outlineLevel="0" collapsed="false">
      <c r="A13" s="2" t="s">
        <v>53</v>
      </c>
      <c r="B13" s="2" t="n">
        <v>10</v>
      </c>
      <c r="C13" s="8" t="s">
        <v>49</v>
      </c>
      <c r="D13" s="4" t="s">
        <v>11</v>
      </c>
      <c r="E13" s="5" t="s">
        <v>12</v>
      </c>
      <c r="F13" s="5" t="s">
        <v>54</v>
      </c>
      <c r="G13" s="5" t="s">
        <v>55</v>
      </c>
      <c r="H13" s="5" t="s">
        <v>56</v>
      </c>
      <c r="I13" s="2" t="s">
        <v>16</v>
      </c>
    </row>
    <row r="14" customFormat="false" ht="23.85" hidden="false" customHeight="false" outlineLevel="0" collapsed="false">
      <c r="A14" s="2" t="s">
        <v>57</v>
      </c>
      <c r="B14" s="2" t="n">
        <v>11</v>
      </c>
      <c r="C14" s="9" t="s">
        <v>58</v>
      </c>
      <c r="D14" s="4" t="s">
        <v>11</v>
      </c>
      <c r="E14" s="5" t="s">
        <v>12</v>
      </c>
      <c r="F14" s="5" t="s">
        <v>59</v>
      </c>
      <c r="G14" s="5" t="s">
        <v>60</v>
      </c>
      <c r="H14" s="5" t="s">
        <v>53</v>
      </c>
      <c r="I14" s="2" t="s">
        <v>16</v>
      </c>
    </row>
    <row r="15" customFormat="false" ht="23.85" hidden="false" customHeight="false" outlineLevel="0" collapsed="false">
      <c r="A15" s="2" t="s">
        <v>61</v>
      </c>
      <c r="B15" s="2" t="n">
        <v>12</v>
      </c>
      <c r="C15" s="9" t="s">
        <v>58</v>
      </c>
      <c r="D15" s="4" t="s">
        <v>11</v>
      </c>
      <c r="E15" s="5" t="s">
        <v>12</v>
      </c>
      <c r="F15" s="5" t="s">
        <v>62</v>
      </c>
      <c r="G15" s="5" t="s">
        <v>63</v>
      </c>
      <c r="H15" s="5" t="s">
        <v>57</v>
      </c>
      <c r="I15" s="2" t="s">
        <v>16</v>
      </c>
    </row>
    <row r="16" customFormat="false" ht="23.85" hidden="false" customHeight="false" outlineLevel="0" collapsed="false">
      <c r="A16" s="2" t="s">
        <v>64</v>
      </c>
      <c r="B16" s="2" t="n">
        <v>1</v>
      </c>
      <c r="C16" s="3" t="s">
        <v>10</v>
      </c>
      <c r="D16" s="10" t="s">
        <v>65</v>
      </c>
      <c r="E16" s="5" t="s">
        <v>66</v>
      </c>
      <c r="F16" s="5" t="s">
        <v>67</v>
      </c>
      <c r="G16" s="5" t="s">
        <v>68</v>
      </c>
      <c r="H16" s="5" t="s">
        <v>15</v>
      </c>
      <c r="I16" s="2" t="s">
        <v>16</v>
      </c>
    </row>
    <row r="17" customFormat="false" ht="23.85" hidden="false" customHeight="false" outlineLevel="0" collapsed="false">
      <c r="A17" s="2" t="s">
        <v>69</v>
      </c>
      <c r="B17" s="2" t="n">
        <v>2</v>
      </c>
      <c r="C17" s="3" t="s">
        <v>10</v>
      </c>
      <c r="D17" s="10" t="s">
        <v>65</v>
      </c>
      <c r="E17" s="5" t="s">
        <v>66</v>
      </c>
      <c r="F17" s="5" t="s">
        <v>70</v>
      </c>
      <c r="G17" s="5" t="s">
        <v>71</v>
      </c>
      <c r="H17" s="5" t="s">
        <v>64</v>
      </c>
      <c r="I17" s="2" t="s">
        <v>16</v>
      </c>
    </row>
    <row r="18" customFormat="false" ht="23.85" hidden="false" customHeight="false" outlineLevel="0" collapsed="false">
      <c r="A18" s="2" t="s">
        <v>72</v>
      </c>
      <c r="B18" s="2" t="n">
        <v>3</v>
      </c>
      <c r="C18" s="6" t="s">
        <v>28</v>
      </c>
      <c r="D18" s="10" t="s">
        <v>65</v>
      </c>
      <c r="E18" s="5" t="s">
        <v>66</v>
      </c>
      <c r="F18" s="5" t="s">
        <v>73</v>
      </c>
      <c r="G18" s="5" t="s">
        <v>74</v>
      </c>
      <c r="H18" s="5" t="s">
        <v>75</v>
      </c>
      <c r="I18" s="2" t="s">
        <v>16</v>
      </c>
    </row>
    <row r="19" customFormat="false" ht="23.85" hidden="false" customHeight="false" outlineLevel="0" collapsed="false">
      <c r="A19" s="2" t="s">
        <v>76</v>
      </c>
      <c r="B19" s="2" t="n">
        <v>4</v>
      </c>
      <c r="C19" s="6" t="s">
        <v>28</v>
      </c>
      <c r="D19" s="10" t="s">
        <v>65</v>
      </c>
      <c r="E19" s="5" t="s">
        <v>66</v>
      </c>
      <c r="F19" s="5" t="s">
        <v>77</v>
      </c>
      <c r="G19" s="5" t="s">
        <v>78</v>
      </c>
      <c r="H19" s="5" t="s">
        <v>72</v>
      </c>
      <c r="I19" s="2" t="s">
        <v>16</v>
      </c>
    </row>
    <row r="20" customFormat="false" ht="23.85" hidden="false" customHeight="false" outlineLevel="0" collapsed="false">
      <c r="A20" s="2" t="s">
        <v>79</v>
      </c>
      <c r="B20" s="2" t="n">
        <v>5</v>
      </c>
      <c r="C20" s="6" t="s">
        <v>28</v>
      </c>
      <c r="D20" s="10" t="s">
        <v>65</v>
      </c>
      <c r="E20" s="5" t="s">
        <v>66</v>
      </c>
      <c r="F20" s="5" t="s">
        <v>80</v>
      </c>
      <c r="G20" s="5" t="s">
        <v>81</v>
      </c>
      <c r="H20" s="5" t="s">
        <v>82</v>
      </c>
      <c r="I20" s="2" t="s">
        <v>16</v>
      </c>
    </row>
    <row r="21" customFormat="false" ht="23.85" hidden="false" customHeight="false" outlineLevel="0" collapsed="false">
      <c r="A21" s="2" t="s">
        <v>83</v>
      </c>
      <c r="B21" s="2" t="n">
        <v>6</v>
      </c>
      <c r="C21" s="7" t="s">
        <v>38</v>
      </c>
      <c r="D21" s="10" t="s">
        <v>65</v>
      </c>
      <c r="E21" s="5" t="s">
        <v>66</v>
      </c>
      <c r="F21" s="5" t="s">
        <v>84</v>
      </c>
      <c r="G21" s="5" t="s">
        <v>85</v>
      </c>
      <c r="H21" s="5" t="s">
        <v>79</v>
      </c>
      <c r="I21" s="2" t="s">
        <v>16</v>
      </c>
    </row>
    <row r="22" customFormat="false" ht="23.85" hidden="false" customHeight="false" outlineLevel="0" collapsed="false">
      <c r="A22" s="2" t="s">
        <v>86</v>
      </c>
      <c r="B22" s="2" t="n">
        <v>7</v>
      </c>
      <c r="C22" s="7" t="s">
        <v>38</v>
      </c>
      <c r="D22" s="10" t="s">
        <v>65</v>
      </c>
      <c r="E22" s="5" t="s">
        <v>66</v>
      </c>
      <c r="F22" s="5" t="s">
        <v>87</v>
      </c>
      <c r="G22" s="5" t="s">
        <v>88</v>
      </c>
      <c r="H22" s="5" t="s">
        <v>83</v>
      </c>
      <c r="I22" s="2" t="s">
        <v>16</v>
      </c>
    </row>
    <row r="23" customFormat="false" ht="23.85" hidden="false" customHeight="false" outlineLevel="0" collapsed="false">
      <c r="A23" s="2" t="s">
        <v>89</v>
      </c>
      <c r="B23" s="2" t="n">
        <v>8</v>
      </c>
      <c r="C23" s="7" t="s">
        <v>38</v>
      </c>
      <c r="D23" s="10" t="s">
        <v>65</v>
      </c>
      <c r="E23" s="5" t="s">
        <v>66</v>
      </c>
      <c r="F23" s="5" t="s">
        <v>90</v>
      </c>
      <c r="G23" s="5" t="s">
        <v>91</v>
      </c>
      <c r="H23" s="5" t="s">
        <v>92</v>
      </c>
      <c r="I23" s="2" t="s">
        <v>16</v>
      </c>
    </row>
    <row r="24" customFormat="false" ht="23.85" hidden="false" customHeight="false" outlineLevel="0" collapsed="false">
      <c r="A24" s="2" t="s">
        <v>93</v>
      </c>
      <c r="B24" s="2" t="n">
        <v>9</v>
      </c>
      <c r="C24" s="8" t="s">
        <v>49</v>
      </c>
      <c r="D24" s="10" t="s">
        <v>65</v>
      </c>
      <c r="E24" s="5" t="s">
        <v>66</v>
      </c>
      <c r="F24" s="5" t="s">
        <v>94</v>
      </c>
      <c r="G24" s="5" t="s">
        <v>95</v>
      </c>
      <c r="H24" s="5" t="s">
        <v>89</v>
      </c>
      <c r="I24" s="2" t="s">
        <v>16</v>
      </c>
    </row>
    <row r="25" customFormat="false" ht="15" hidden="false" customHeight="false" outlineLevel="0" collapsed="false">
      <c r="A25" s="2" t="s">
        <v>96</v>
      </c>
      <c r="B25" s="2" t="n">
        <v>9</v>
      </c>
      <c r="C25" s="8" t="s">
        <v>49</v>
      </c>
      <c r="D25" s="10" t="s">
        <v>65</v>
      </c>
      <c r="E25" s="5" t="s">
        <v>66</v>
      </c>
      <c r="F25" s="5" t="s">
        <v>97</v>
      </c>
      <c r="G25" s="5" t="s">
        <v>98</v>
      </c>
      <c r="H25" s="5" t="s">
        <v>89</v>
      </c>
      <c r="I25" s="2" t="s">
        <v>16</v>
      </c>
    </row>
    <row r="26" customFormat="false" ht="23.85" hidden="false" customHeight="false" outlineLevel="0" collapsed="false">
      <c r="A26" s="2" t="s">
        <v>99</v>
      </c>
      <c r="B26" s="2" t="n">
        <v>10</v>
      </c>
      <c r="C26" s="8" t="s">
        <v>49</v>
      </c>
      <c r="D26" s="10" t="s">
        <v>65</v>
      </c>
      <c r="E26" s="5" t="s">
        <v>66</v>
      </c>
      <c r="F26" s="5" t="s">
        <v>100</v>
      </c>
      <c r="G26" s="5" t="s">
        <v>101</v>
      </c>
      <c r="H26" s="5" t="s">
        <v>102</v>
      </c>
      <c r="I26" s="2" t="s">
        <v>16</v>
      </c>
    </row>
    <row r="27" customFormat="false" ht="23.85" hidden="false" customHeight="false" outlineLevel="0" collapsed="false">
      <c r="A27" s="2" t="s">
        <v>103</v>
      </c>
      <c r="B27" s="2" t="n">
        <v>11</v>
      </c>
      <c r="C27" s="9" t="s">
        <v>58</v>
      </c>
      <c r="D27" s="10" t="s">
        <v>65</v>
      </c>
      <c r="E27" s="5" t="s">
        <v>66</v>
      </c>
      <c r="F27" s="5" t="s">
        <v>104</v>
      </c>
      <c r="G27" s="5" t="s">
        <v>105</v>
      </c>
      <c r="H27" s="5" t="s">
        <v>106</v>
      </c>
      <c r="I27" s="2" t="s">
        <v>16</v>
      </c>
    </row>
    <row r="28" customFormat="false" ht="23.85" hidden="false" customHeight="false" outlineLevel="0" collapsed="false">
      <c r="A28" s="2" t="s">
        <v>107</v>
      </c>
      <c r="B28" s="2" t="n">
        <v>12</v>
      </c>
      <c r="C28" s="9" t="s">
        <v>58</v>
      </c>
      <c r="D28" s="10" t="s">
        <v>65</v>
      </c>
      <c r="E28" s="5" t="s">
        <v>66</v>
      </c>
      <c r="F28" s="5" t="s">
        <v>108</v>
      </c>
      <c r="G28" s="5" t="s">
        <v>109</v>
      </c>
      <c r="H28" s="5" t="s">
        <v>103</v>
      </c>
      <c r="I28" s="2" t="s">
        <v>16</v>
      </c>
    </row>
    <row r="29" customFormat="false" ht="15" hidden="false" customHeight="false" outlineLevel="0" collapsed="false">
      <c r="A29" s="2" t="s">
        <v>110</v>
      </c>
      <c r="B29" s="2" t="n">
        <v>1</v>
      </c>
      <c r="C29" s="3" t="s">
        <v>10</v>
      </c>
      <c r="D29" s="11" t="s">
        <v>111</v>
      </c>
      <c r="E29" s="5" t="s">
        <v>112</v>
      </c>
      <c r="F29" s="5" t="s">
        <v>113</v>
      </c>
      <c r="G29" s="5" t="s">
        <v>114</v>
      </c>
      <c r="H29" s="5" t="s">
        <v>15</v>
      </c>
      <c r="I29" s="2" t="s">
        <v>16</v>
      </c>
    </row>
    <row r="30" customFormat="false" ht="23.85" hidden="false" customHeight="false" outlineLevel="0" collapsed="false">
      <c r="A30" s="2" t="s">
        <v>115</v>
      </c>
      <c r="B30" s="2" t="n">
        <v>2</v>
      </c>
      <c r="C30" s="3" t="s">
        <v>10</v>
      </c>
      <c r="D30" s="11" t="s">
        <v>111</v>
      </c>
      <c r="E30" s="5" t="s">
        <v>112</v>
      </c>
      <c r="F30" s="5" t="s">
        <v>116</v>
      </c>
      <c r="G30" s="5" t="s">
        <v>117</v>
      </c>
      <c r="H30" s="5" t="s">
        <v>110</v>
      </c>
      <c r="I30" s="2" t="s">
        <v>16</v>
      </c>
    </row>
    <row r="31" customFormat="false" ht="23.85" hidden="false" customHeight="false" outlineLevel="0" collapsed="false">
      <c r="A31" s="2" t="s">
        <v>26</v>
      </c>
      <c r="B31" s="2" t="n">
        <v>2</v>
      </c>
      <c r="C31" s="3" t="s">
        <v>10</v>
      </c>
      <c r="D31" s="11" t="s">
        <v>111</v>
      </c>
      <c r="E31" s="5" t="s">
        <v>112</v>
      </c>
      <c r="F31" s="5" t="s">
        <v>118</v>
      </c>
      <c r="G31" s="5" t="s">
        <v>119</v>
      </c>
      <c r="H31" s="5" t="s">
        <v>115</v>
      </c>
      <c r="I31" s="2" t="s">
        <v>16</v>
      </c>
    </row>
    <row r="32" customFormat="false" ht="15" hidden="false" customHeight="false" outlineLevel="0" collapsed="false">
      <c r="A32" s="2" t="s">
        <v>120</v>
      </c>
      <c r="B32" s="2" t="n">
        <v>3</v>
      </c>
      <c r="C32" s="6" t="s">
        <v>28</v>
      </c>
      <c r="D32" s="11" t="s">
        <v>111</v>
      </c>
      <c r="E32" s="5" t="s">
        <v>112</v>
      </c>
      <c r="F32" s="5" t="s">
        <v>121</v>
      </c>
      <c r="G32" s="5" t="s">
        <v>122</v>
      </c>
      <c r="H32" s="5" t="s">
        <v>26</v>
      </c>
      <c r="I32" s="2" t="s">
        <v>16</v>
      </c>
    </row>
    <row r="33" customFormat="false" ht="15" hidden="false" customHeight="false" outlineLevel="0" collapsed="false">
      <c r="A33" s="2" t="s">
        <v>123</v>
      </c>
      <c r="B33" s="2" t="n">
        <v>4</v>
      </c>
      <c r="C33" s="6" t="s">
        <v>28</v>
      </c>
      <c r="D33" s="11" t="s">
        <v>111</v>
      </c>
      <c r="E33" s="5" t="s">
        <v>112</v>
      </c>
      <c r="F33" s="5" t="s">
        <v>124</v>
      </c>
      <c r="G33" s="5" t="s">
        <v>125</v>
      </c>
      <c r="H33" s="5" t="s">
        <v>120</v>
      </c>
      <c r="I33" s="2" t="s">
        <v>16</v>
      </c>
    </row>
    <row r="34" customFormat="false" ht="23.85" hidden="false" customHeight="false" outlineLevel="0" collapsed="false">
      <c r="A34" s="2" t="s">
        <v>126</v>
      </c>
      <c r="B34" s="2" t="n">
        <v>5</v>
      </c>
      <c r="C34" s="6" t="s">
        <v>28</v>
      </c>
      <c r="D34" s="11" t="s">
        <v>111</v>
      </c>
      <c r="E34" s="5" t="s">
        <v>112</v>
      </c>
      <c r="F34" s="5" t="s">
        <v>127</v>
      </c>
      <c r="G34" s="5" t="s">
        <v>128</v>
      </c>
      <c r="H34" s="5" t="s">
        <v>129</v>
      </c>
      <c r="I34" s="2" t="s">
        <v>16</v>
      </c>
    </row>
    <row r="35" customFormat="false" ht="23.85" hidden="false" customHeight="false" outlineLevel="0" collapsed="false">
      <c r="A35" s="2" t="s">
        <v>130</v>
      </c>
      <c r="B35" s="2" t="n">
        <v>6</v>
      </c>
      <c r="C35" s="7" t="s">
        <v>38</v>
      </c>
      <c r="D35" s="11" t="s">
        <v>111</v>
      </c>
      <c r="E35" s="5" t="s">
        <v>112</v>
      </c>
      <c r="F35" s="5" t="s">
        <v>131</v>
      </c>
      <c r="G35" s="5" t="s">
        <v>132</v>
      </c>
      <c r="H35" s="5" t="s">
        <v>133</v>
      </c>
      <c r="I35" s="2" t="s">
        <v>16</v>
      </c>
    </row>
    <row r="36" customFormat="false" ht="23.85" hidden="false" customHeight="false" outlineLevel="0" collapsed="false">
      <c r="A36" s="2" t="s">
        <v>134</v>
      </c>
      <c r="B36" s="2" t="n">
        <v>7</v>
      </c>
      <c r="C36" s="7" t="s">
        <v>38</v>
      </c>
      <c r="D36" s="11" t="s">
        <v>111</v>
      </c>
      <c r="E36" s="5" t="s">
        <v>112</v>
      </c>
      <c r="F36" s="5" t="s">
        <v>135</v>
      </c>
      <c r="G36" s="5" t="s">
        <v>136</v>
      </c>
      <c r="H36" s="5" t="s">
        <v>130</v>
      </c>
      <c r="I36" s="2" t="s">
        <v>16</v>
      </c>
    </row>
    <row r="37" customFormat="false" ht="23.85" hidden="false" customHeight="false" outlineLevel="0" collapsed="false">
      <c r="A37" s="2" t="s">
        <v>137</v>
      </c>
      <c r="B37" s="2" t="n">
        <v>8</v>
      </c>
      <c r="C37" s="7" t="s">
        <v>38</v>
      </c>
      <c r="D37" s="11" t="s">
        <v>111</v>
      </c>
      <c r="E37" s="5" t="s">
        <v>112</v>
      </c>
      <c r="F37" s="5" t="s">
        <v>138</v>
      </c>
      <c r="G37" s="5" t="s">
        <v>139</v>
      </c>
      <c r="H37" s="5" t="s">
        <v>140</v>
      </c>
      <c r="I37" s="2" t="s">
        <v>16</v>
      </c>
    </row>
    <row r="38" customFormat="false" ht="23.85" hidden="false" customHeight="false" outlineLevel="0" collapsed="false">
      <c r="A38" s="2" t="s">
        <v>141</v>
      </c>
      <c r="B38" s="2" t="n">
        <v>9</v>
      </c>
      <c r="C38" s="8" t="s">
        <v>49</v>
      </c>
      <c r="D38" s="11" t="s">
        <v>111</v>
      </c>
      <c r="E38" s="5" t="s">
        <v>112</v>
      </c>
      <c r="F38" s="5" t="s">
        <v>142</v>
      </c>
      <c r="G38" s="5" t="s">
        <v>143</v>
      </c>
      <c r="H38" s="5" t="s">
        <v>137</v>
      </c>
      <c r="I38" s="2" t="s">
        <v>16</v>
      </c>
    </row>
    <row r="39" customFormat="false" ht="23.85" hidden="false" customHeight="false" outlineLevel="0" collapsed="false">
      <c r="A39" s="2" t="s">
        <v>144</v>
      </c>
      <c r="B39" s="2" t="n">
        <v>10</v>
      </c>
      <c r="C39" s="8" t="s">
        <v>49</v>
      </c>
      <c r="D39" s="11" t="s">
        <v>111</v>
      </c>
      <c r="E39" s="5" t="s">
        <v>112</v>
      </c>
      <c r="F39" s="5" t="s">
        <v>145</v>
      </c>
      <c r="G39" s="5" t="s">
        <v>146</v>
      </c>
      <c r="H39" s="5" t="s">
        <v>141</v>
      </c>
      <c r="I39" s="2" t="s">
        <v>16</v>
      </c>
    </row>
    <row r="40" customFormat="false" ht="23.85" hidden="false" customHeight="false" outlineLevel="0" collapsed="false">
      <c r="A40" s="2" t="s">
        <v>147</v>
      </c>
      <c r="B40" s="2" t="n">
        <v>11</v>
      </c>
      <c r="C40" s="9" t="s">
        <v>58</v>
      </c>
      <c r="D40" s="11" t="s">
        <v>111</v>
      </c>
      <c r="E40" s="5" t="s">
        <v>112</v>
      </c>
      <c r="F40" s="5" t="s">
        <v>148</v>
      </c>
      <c r="G40" s="5" t="s">
        <v>149</v>
      </c>
      <c r="H40" s="5" t="s">
        <v>144</v>
      </c>
      <c r="I40" s="2" t="s">
        <v>16</v>
      </c>
    </row>
    <row r="41" customFormat="false" ht="23.85" hidden="false" customHeight="false" outlineLevel="0" collapsed="false">
      <c r="A41" s="2" t="s">
        <v>150</v>
      </c>
      <c r="B41" s="2" t="n">
        <v>12</v>
      </c>
      <c r="C41" s="9" t="s">
        <v>58</v>
      </c>
      <c r="D41" s="11" t="s">
        <v>111</v>
      </c>
      <c r="E41" s="5" t="s">
        <v>112</v>
      </c>
      <c r="F41" s="5" t="s">
        <v>151</v>
      </c>
      <c r="G41" s="5" t="s">
        <v>152</v>
      </c>
      <c r="H41" s="5" t="s">
        <v>147</v>
      </c>
      <c r="I41" s="2" t="s">
        <v>16</v>
      </c>
    </row>
    <row r="42" customFormat="false" ht="23.85" hidden="false" customHeight="false" outlineLevel="0" collapsed="false">
      <c r="A42" s="2" t="s">
        <v>153</v>
      </c>
      <c r="B42" s="2" t="n">
        <v>1</v>
      </c>
      <c r="C42" s="3" t="s">
        <v>10</v>
      </c>
      <c r="D42" s="12" t="s">
        <v>154</v>
      </c>
      <c r="E42" s="5" t="s">
        <v>155</v>
      </c>
      <c r="F42" s="5" t="s">
        <v>156</v>
      </c>
      <c r="G42" s="5" t="s">
        <v>157</v>
      </c>
      <c r="H42" s="5" t="s">
        <v>15</v>
      </c>
      <c r="I42" s="2" t="s">
        <v>16</v>
      </c>
    </row>
    <row r="43" customFormat="false" ht="23.85" hidden="false" customHeight="false" outlineLevel="0" collapsed="false">
      <c r="A43" s="2" t="s">
        <v>158</v>
      </c>
      <c r="B43" s="2" t="n">
        <v>1</v>
      </c>
      <c r="C43" s="3" t="s">
        <v>10</v>
      </c>
      <c r="D43" s="12" t="s">
        <v>154</v>
      </c>
      <c r="E43" s="5" t="s">
        <v>155</v>
      </c>
      <c r="F43" s="5" t="s">
        <v>159</v>
      </c>
      <c r="G43" s="5" t="s">
        <v>160</v>
      </c>
      <c r="H43" s="5" t="s">
        <v>161</v>
      </c>
      <c r="I43" s="2" t="s">
        <v>16</v>
      </c>
    </row>
    <row r="44" customFormat="false" ht="15" hidden="false" customHeight="false" outlineLevel="0" collapsed="false">
      <c r="A44" s="2" t="s">
        <v>162</v>
      </c>
      <c r="B44" s="2" t="n">
        <v>2</v>
      </c>
      <c r="C44" s="3" t="s">
        <v>10</v>
      </c>
      <c r="D44" s="12" t="s">
        <v>154</v>
      </c>
      <c r="E44" s="5" t="s">
        <v>155</v>
      </c>
      <c r="F44" s="5" t="s">
        <v>163</v>
      </c>
      <c r="G44" s="5" t="s">
        <v>164</v>
      </c>
      <c r="H44" s="5" t="s">
        <v>153</v>
      </c>
      <c r="I44" s="2" t="s">
        <v>16</v>
      </c>
    </row>
    <row r="45" customFormat="false" ht="15" hidden="false" customHeight="false" outlineLevel="0" collapsed="false">
      <c r="A45" s="2" t="s">
        <v>165</v>
      </c>
      <c r="B45" s="2" t="n">
        <v>3</v>
      </c>
      <c r="C45" s="6" t="s">
        <v>28</v>
      </c>
      <c r="D45" s="12" t="s">
        <v>154</v>
      </c>
      <c r="E45" s="5" t="s">
        <v>155</v>
      </c>
      <c r="F45" s="5" t="s">
        <v>166</v>
      </c>
      <c r="G45" s="5" t="s">
        <v>167</v>
      </c>
      <c r="H45" s="5" t="s">
        <v>168</v>
      </c>
      <c r="I45" s="2" t="s">
        <v>16</v>
      </c>
    </row>
    <row r="46" customFormat="false" ht="23.85" hidden="false" customHeight="false" outlineLevel="0" collapsed="false">
      <c r="A46" s="2" t="s">
        <v>169</v>
      </c>
      <c r="B46" s="2" t="n">
        <v>4</v>
      </c>
      <c r="C46" s="6" t="s">
        <v>28</v>
      </c>
      <c r="D46" s="12" t="s">
        <v>154</v>
      </c>
      <c r="E46" s="5" t="s">
        <v>155</v>
      </c>
      <c r="F46" s="5" t="s">
        <v>170</v>
      </c>
      <c r="G46" s="5" t="s">
        <v>171</v>
      </c>
      <c r="H46" s="5" t="s">
        <v>172</v>
      </c>
      <c r="I46" s="2" t="s">
        <v>16</v>
      </c>
    </row>
    <row r="47" customFormat="false" ht="23.85" hidden="false" customHeight="false" outlineLevel="0" collapsed="false">
      <c r="A47" s="2" t="s">
        <v>173</v>
      </c>
      <c r="B47" s="2" t="n">
        <v>5</v>
      </c>
      <c r="C47" s="6" t="s">
        <v>28</v>
      </c>
      <c r="D47" s="12" t="s">
        <v>154</v>
      </c>
      <c r="E47" s="5" t="s">
        <v>155</v>
      </c>
      <c r="F47" s="5" t="s">
        <v>174</v>
      </c>
      <c r="G47" s="5" t="s">
        <v>175</v>
      </c>
      <c r="H47" s="5" t="s">
        <v>169</v>
      </c>
      <c r="I47" s="2" t="s">
        <v>16</v>
      </c>
    </row>
    <row r="48" customFormat="false" ht="23.85" hidden="false" customHeight="false" outlineLevel="0" collapsed="false">
      <c r="A48" s="2" t="s">
        <v>176</v>
      </c>
      <c r="B48" s="2" t="n">
        <v>6</v>
      </c>
      <c r="C48" s="7" t="s">
        <v>38</v>
      </c>
      <c r="D48" s="12" t="s">
        <v>154</v>
      </c>
      <c r="E48" s="5" t="s">
        <v>155</v>
      </c>
      <c r="F48" s="5" t="s">
        <v>177</v>
      </c>
      <c r="G48" s="5" t="s">
        <v>178</v>
      </c>
      <c r="H48" s="5" t="s">
        <v>179</v>
      </c>
      <c r="I48" s="2" t="s">
        <v>16</v>
      </c>
    </row>
    <row r="49" customFormat="false" ht="23.85" hidden="false" customHeight="false" outlineLevel="0" collapsed="false">
      <c r="A49" s="2" t="s">
        <v>180</v>
      </c>
      <c r="B49" s="2" t="n">
        <v>7</v>
      </c>
      <c r="C49" s="7" t="s">
        <v>38</v>
      </c>
      <c r="D49" s="12" t="s">
        <v>154</v>
      </c>
      <c r="E49" s="5" t="s">
        <v>155</v>
      </c>
      <c r="F49" s="5" t="s">
        <v>181</v>
      </c>
      <c r="G49" s="5" t="s">
        <v>182</v>
      </c>
      <c r="H49" s="5" t="s">
        <v>176</v>
      </c>
      <c r="I49" s="2" t="s">
        <v>16</v>
      </c>
    </row>
    <row r="50" customFormat="false" ht="23.85" hidden="false" customHeight="false" outlineLevel="0" collapsed="false">
      <c r="A50" s="2" t="s">
        <v>183</v>
      </c>
      <c r="B50" s="2" t="n">
        <v>8</v>
      </c>
      <c r="C50" s="7" t="s">
        <v>38</v>
      </c>
      <c r="D50" s="12" t="s">
        <v>154</v>
      </c>
      <c r="E50" s="5" t="s">
        <v>155</v>
      </c>
      <c r="F50" s="5" t="s">
        <v>184</v>
      </c>
      <c r="G50" s="5" t="s">
        <v>185</v>
      </c>
      <c r="H50" s="5" t="s">
        <v>186</v>
      </c>
      <c r="I50" s="2" t="s">
        <v>16</v>
      </c>
    </row>
    <row r="51" customFormat="false" ht="23.85" hidden="false" customHeight="false" outlineLevel="0" collapsed="false">
      <c r="A51" s="2" t="s">
        <v>187</v>
      </c>
      <c r="B51" s="2" t="n">
        <v>9</v>
      </c>
      <c r="C51" s="8" t="s">
        <v>49</v>
      </c>
      <c r="D51" s="12" t="s">
        <v>154</v>
      </c>
      <c r="E51" s="5" t="s">
        <v>155</v>
      </c>
      <c r="F51" s="5" t="s">
        <v>188</v>
      </c>
      <c r="G51" s="5" t="s">
        <v>189</v>
      </c>
      <c r="H51" s="5" t="s">
        <v>190</v>
      </c>
      <c r="I51" s="2" t="s">
        <v>16</v>
      </c>
    </row>
    <row r="52" customFormat="false" ht="23.85" hidden="false" customHeight="false" outlineLevel="0" collapsed="false">
      <c r="A52" s="2" t="s">
        <v>191</v>
      </c>
      <c r="B52" s="2" t="n">
        <v>10</v>
      </c>
      <c r="C52" s="8" t="s">
        <v>49</v>
      </c>
      <c r="D52" s="12" t="s">
        <v>154</v>
      </c>
      <c r="E52" s="5" t="s">
        <v>155</v>
      </c>
      <c r="F52" s="5" t="s">
        <v>192</v>
      </c>
      <c r="G52" s="5" t="s">
        <v>193</v>
      </c>
      <c r="H52" s="5" t="s">
        <v>194</v>
      </c>
      <c r="I52" s="2" t="s">
        <v>16</v>
      </c>
    </row>
    <row r="53" customFormat="false" ht="23.85" hidden="false" customHeight="false" outlineLevel="0" collapsed="false">
      <c r="A53" s="2" t="s">
        <v>195</v>
      </c>
      <c r="B53" s="2" t="n">
        <v>11</v>
      </c>
      <c r="C53" s="9" t="s">
        <v>58</v>
      </c>
      <c r="D53" s="12" t="s">
        <v>154</v>
      </c>
      <c r="E53" s="5" t="s">
        <v>155</v>
      </c>
      <c r="F53" s="5" t="s">
        <v>196</v>
      </c>
      <c r="G53" s="5" t="s">
        <v>197</v>
      </c>
      <c r="H53" s="5" t="s">
        <v>198</v>
      </c>
      <c r="I53" s="2" t="s">
        <v>16</v>
      </c>
    </row>
    <row r="54" customFormat="false" ht="23.85" hidden="false" customHeight="false" outlineLevel="0" collapsed="false">
      <c r="A54" s="2" t="s">
        <v>199</v>
      </c>
      <c r="B54" s="2" t="n">
        <v>12</v>
      </c>
      <c r="C54" s="9" t="s">
        <v>58</v>
      </c>
      <c r="D54" s="12" t="s">
        <v>154</v>
      </c>
      <c r="E54" s="5" t="s">
        <v>155</v>
      </c>
      <c r="F54" s="5" t="s">
        <v>200</v>
      </c>
      <c r="G54" s="5" t="s">
        <v>201</v>
      </c>
      <c r="H54" s="5" t="s">
        <v>195</v>
      </c>
      <c r="I54" s="2" t="s">
        <v>16</v>
      </c>
    </row>
  </sheetData>
  <autoFilter ref="A1:I54"/>
  <dataValidations count="1">
    <dataValidation allowBlank="true" errorStyle="stop" operator="between" showDropDown="false" showErrorMessage="false" showInputMessage="false" sqref="I2:I54" type="list">
      <formula1>"Chưa bắt đầu,Đang làm,Đã xong,Trễ"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6" min="3" style="0" width="40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202</v>
      </c>
      <c r="D1" s="1" t="s">
        <v>203</v>
      </c>
      <c r="E1" s="1" t="s">
        <v>204</v>
      </c>
      <c r="F1" s="1" t="s">
        <v>205</v>
      </c>
    </row>
    <row r="2" customFormat="false" ht="43.25" hidden="false" customHeight="false" outlineLevel="0" collapsed="false">
      <c r="A2" s="13" t="s">
        <v>206</v>
      </c>
      <c r="B2" s="14" t="s">
        <v>10</v>
      </c>
      <c r="C2" s="15" t="s">
        <v>207</v>
      </c>
      <c r="D2" s="16" t="s">
        <v>208</v>
      </c>
      <c r="E2" s="17" t="s">
        <v>209</v>
      </c>
      <c r="F2" s="18" t="s">
        <v>210</v>
      </c>
    </row>
    <row r="3" customFormat="false" ht="43.25" hidden="false" customHeight="false" outlineLevel="0" collapsed="false">
      <c r="A3" s="13" t="s">
        <v>211</v>
      </c>
      <c r="B3" s="14" t="s">
        <v>10</v>
      </c>
      <c r="C3" s="15" t="s">
        <v>212</v>
      </c>
      <c r="D3" s="16" t="s">
        <v>213</v>
      </c>
      <c r="E3" s="17" t="s">
        <v>214</v>
      </c>
      <c r="F3" s="18" t="s">
        <v>215</v>
      </c>
    </row>
    <row r="4" customFormat="false" ht="22.35" hidden="false" customHeight="false" outlineLevel="0" collapsed="false">
      <c r="A4" s="13" t="s">
        <v>216</v>
      </c>
      <c r="B4" s="19" t="s">
        <v>28</v>
      </c>
      <c r="C4" s="15" t="s">
        <v>217</v>
      </c>
      <c r="D4" s="16" t="s">
        <v>218</v>
      </c>
      <c r="E4" s="17" t="s">
        <v>219</v>
      </c>
      <c r="F4" s="18" t="s">
        <v>220</v>
      </c>
    </row>
    <row r="5" customFormat="false" ht="22.35" hidden="false" customHeight="false" outlineLevel="0" collapsed="false">
      <c r="A5" s="13" t="s">
        <v>221</v>
      </c>
      <c r="B5" s="19" t="s">
        <v>28</v>
      </c>
      <c r="C5" s="15" t="s">
        <v>222</v>
      </c>
      <c r="D5" s="16" t="s">
        <v>223</v>
      </c>
      <c r="E5" s="17" t="s">
        <v>224</v>
      </c>
      <c r="F5" s="18" t="s">
        <v>225</v>
      </c>
    </row>
    <row r="6" customFormat="false" ht="22.35" hidden="false" customHeight="false" outlineLevel="0" collapsed="false">
      <c r="A6" s="13" t="s">
        <v>226</v>
      </c>
      <c r="B6" s="19" t="s">
        <v>28</v>
      </c>
      <c r="C6" s="15" t="s">
        <v>227</v>
      </c>
      <c r="D6" s="16" t="s">
        <v>228</v>
      </c>
      <c r="E6" s="17" t="s">
        <v>229</v>
      </c>
      <c r="F6" s="18" t="s">
        <v>230</v>
      </c>
    </row>
    <row r="7" customFormat="false" ht="22.35" hidden="false" customHeight="false" outlineLevel="0" collapsed="false">
      <c r="A7" s="13" t="s">
        <v>231</v>
      </c>
      <c r="B7" s="20" t="s">
        <v>38</v>
      </c>
      <c r="C7" s="15" t="s">
        <v>232</v>
      </c>
      <c r="D7" s="16" t="s">
        <v>233</v>
      </c>
      <c r="E7" s="17" t="s">
        <v>234</v>
      </c>
      <c r="F7" s="18" t="s">
        <v>235</v>
      </c>
    </row>
    <row r="8" customFormat="false" ht="22.35" hidden="false" customHeight="false" outlineLevel="0" collapsed="false">
      <c r="A8" s="13" t="s">
        <v>236</v>
      </c>
      <c r="B8" s="20" t="s">
        <v>38</v>
      </c>
      <c r="C8" s="15" t="s">
        <v>237</v>
      </c>
      <c r="D8" s="16" t="s">
        <v>238</v>
      </c>
      <c r="E8" s="17" t="s">
        <v>239</v>
      </c>
      <c r="F8" s="18" t="s">
        <v>240</v>
      </c>
    </row>
    <row r="9" customFormat="false" ht="22.35" hidden="false" customHeight="false" outlineLevel="0" collapsed="false">
      <c r="A9" s="13" t="s">
        <v>241</v>
      </c>
      <c r="B9" s="20" t="s">
        <v>38</v>
      </c>
      <c r="C9" s="15" t="s">
        <v>242</v>
      </c>
      <c r="D9" s="16" t="s">
        <v>243</v>
      </c>
      <c r="E9" s="17" t="s">
        <v>244</v>
      </c>
      <c r="F9" s="18" t="s">
        <v>245</v>
      </c>
    </row>
    <row r="10" customFormat="false" ht="43.25" hidden="false" customHeight="false" outlineLevel="0" collapsed="false">
      <c r="A10" s="13" t="s">
        <v>246</v>
      </c>
      <c r="B10" s="21" t="s">
        <v>49</v>
      </c>
      <c r="C10" s="15" t="s">
        <v>247</v>
      </c>
      <c r="D10" s="16" t="s">
        <v>248</v>
      </c>
      <c r="E10" s="17" t="s">
        <v>249</v>
      </c>
      <c r="F10" s="18" t="s">
        <v>250</v>
      </c>
    </row>
    <row r="11" customFormat="false" ht="22.35" hidden="false" customHeight="false" outlineLevel="0" collapsed="false">
      <c r="A11" s="13" t="s">
        <v>251</v>
      </c>
      <c r="B11" s="21" t="s">
        <v>49</v>
      </c>
      <c r="C11" s="15" t="s">
        <v>252</v>
      </c>
      <c r="D11" s="16" t="s">
        <v>253</v>
      </c>
      <c r="E11" s="17" t="s">
        <v>254</v>
      </c>
      <c r="F11" s="18" t="s">
        <v>255</v>
      </c>
    </row>
    <row r="12" customFormat="false" ht="22.35" hidden="false" customHeight="false" outlineLevel="0" collapsed="false">
      <c r="A12" s="13" t="s">
        <v>256</v>
      </c>
      <c r="B12" s="22" t="s">
        <v>58</v>
      </c>
      <c r="C12" s="15" t="s">
        <v>257</v>
      </c>
      <c r="D12" s="16" t="s">
        <v>258</v>
      </c>
      <c r="E12" s="17" t="s">
        <v>259</v>
      </c>
      <c r="F12" s="18" t="s">
        <v>260</v>
      </c>
    </row>
    <row r="13" customFormat="false" ht="22.35" hidden="false" customHeight="false" outlineLevel="0" collapsed="false">
      <c r="A13" s="13" t="s">
        <v>261</v>
      </c>
      <c r="B13" s="22" t="s">
        <v>58</v>
      </c>
      <c r="C13" s="15" t="s">
        <v>262</v>
      </c>
      <c r="D13" s="16" t="s">
        <v>263</v>
      </c>
      <c r="E13" s="17" t="s">
        <v>264</v>
      </c>
      <c r="F13" s="18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23" t="s">
        <v>266</v>
      </c>
    </row>
    <row r="3" customFormat="false" ht="15" hidden="false" customHeight="false" outlineLevel="0" collapsed="false">
      <c r="A3" s="24" t="s">
        <v>267</v>
      </c>
      <c r="B3" s="24" t="s">
        <v>268</v>
      </c>
    </row>
    <row r="4" customFormat="false" ht="15" hidden="false" customHeight="false" outlineLevel="0" collapsed="false">
      <c r="A4" s="25" t="s">
        <v>269</v>
      </c>
      <c r="B4" s="26" t="s">
        <v>270</v>
      </c>
    </row>
    <row r="5" customFormat="false" ht="15" hidden="false" customHeight="false" outlineLevel="0" collapsed="false">
      <c r="A5" s="25" t="s">
        <v>271</v>
      </c>
      <c r="B5" s="26" t="s">
        <v>272</v>
      </c>
    </row>
    <row r="6" customFormat="false" ht="15" hidden="false" customHeight="false" outlineLevel="0" collapsed="false">
      <c r="A6" s="25" t="s">
        <v>273</v>
      </c>
      <c r="B6" s="26" t="s">
        <v>274</v>
      </c>
    </row>
    <row r="7" customFormat="false" ht="15" hidden="false" customHeight="false" outlineLevel="0" collapsed="false">
      <c r="A7" s="25" t="s">
        <v>275</v>
      </c>
      <c r="B7" s="26" t="s">
        <v>276</v>
      </c>
    </row>
    <row r="8" customFormat="false" ht="15" hidden="false" customHeight="false" outlineLevel="0" collapsed="false">
      <c r="A8" s="25" t="s">
        <v>277</v>
      </c>
      <c r="B8" s="26" t="s">
        <v>278</v>
      </c>
    </row>
    <row r="11" customFormat="false" ht="16.15" hidden="false" customHeight="false" outlineLevel="0" collapsed="false">
      <c r="A11" s="23" t="s">
        <v>279</v>
      </c>
    </row>
    <row r="12" customFormat="false" ht="15" hidden="false" customHeight="false" outlineLevel="0" collapsed="false">
      <c r="A12" s="24" t="s">
        <v>8</v>
      </c>
      <c r="B12" s="24" t="s">
        <v>280</v>
      </c>
    </row>
    <row r="13" customFormat="false" ht="15" hidden="false" customHeight="false" outlineLevel="0" collapsed="false">
      <c r="A13" s="27" t="s">
        <v>16</v>
      </c>
      <c r="B13" s="28" t="n">
        <f aca="false">COUNTIF('Danh sách công việc'!$I$2:$I$54,A13)</f>
        <v>53</v>
      </c>
    </row>
    <row r="14" customFormat="false" ht="15" hidden="false" customHeight="false" outlineLevel="0" collapsed="false">
      <c r="A14" s="27" t="s">
        <v>281</v>
      </c>
      <c r="B14" s="28" t="n">
        <f aca="false">COUNTIF('Danh sách công việc'!$I$2:$I$54,A14)</f>
        <v>0</v>
      </c>
    </row>
    <row r="15" customFormat="false" ht="15" hidden="false" customHeight="false" outlineLevel="0" collapsed="false">
      <c r="A15" s="27" t="s">
        <v>282</v>
      </c>
      <c r="B15" s="28" t="n">
        <f aca="false">COUNTIF('Danh sách công việc'!$I$2:$I$54,A15)</f>
        <v>0</v>
      </c>
    </row>
    <row r="16" customFormat="false" ht="15" hidden="false" customHeight="false" outlineLevel="0" collapsed="false">
      <c r="A16" s="27" t="s">
        <v>283</v>
      </c>
      <c r="B16" s="28" t="n">
        <f aca="false">COUNTIF('Danh sách công việc'!$I$2:$I$54,A16)</f>
        <v>0</v>
      </c>
    </row>
    <row r="17" customFormat="false" ht="15" hidden="false" customHeight="false" outlineLevel="0" collapsed="false">
      <c r="A17" s="29" t="s">
        <v>284</v>
      </c>
      <c r="B17" s="30" t="n">
        <f aca="false">SUM(B13:B16)</f>
        <v>53</v>
      </c>
    </row>
    <row r="19" customFormat="false" ht="15" hidden="false" customHeight="false" outlineLevel="0" collapsed="false">
      <c r="A19" s="31" t="s">
        <v>285</v>
      </c>
      <c r="B19" s="32" t="n">
        <f aca="false">B15/B17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2026-07-05T09:35:37Z</dcterms:created>
  <dc:creator>openpyxl</dc:creator>
  <dc:description/>
  <dc:language>en-US</dc:language>
  <cp:lastModifiedBy/>
  <dcterms:modified xsi:type="dcterms:W3CDTF">2026-07-05T09:35:37Z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