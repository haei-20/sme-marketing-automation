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oAn\"/>
    </mc:Choice>
  </mc:AlternateContent>
  <xr:revisionPtr revIDLastSave="0" documentId="13_ncr:1_{411F0AA8-6A70-40C2-AE71-29D8C5242D8D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Kiến trúc Desktop" sheetId="4" r:id="rId1"/>
    <sheet name="Danh sách công việc" sheetId="1" r:id="rId2"/>
    <sheet name="Lịch theo tuần" sheetId="2" r:id="rId3"/>
    <sheet name="Mốc &amp; Tiến độ" sheetId="3" r:id="rId4"/>
  </sheets>
  <definedNames>
    <definedName name="_xlnm._FilterDatabase" localSheetId="1" hidden="1">'Danh sách công việc'!$A$1:$K$54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7" i="3"/>
  <c r="B16" i="3"/>
  <c r="B15" i="3"/>
  <c r="B14" i="3"/>
  <c r="B13" i="3"/>
</calcChain>
</file>

<file path=xl/sharedStrings.xml><?xml version="1.0" encoding="utf-8"?>
<sst xmlns="http://schemas.openxmlformats.org/spreadsheetml/2006/main" count="682" uniqueCount="363">
  <si>
    <t>Mã</t>
  </si>
  <si>
    <t>Tuần</t>
  </si>
  <si>
    <t>Giai đoạn</t>
  </si>
  <si>
    <t>Thành viên</t>
  </si>
  <si>
    <t>Vai trò</t>
  </si>
  <si>
    <t>Đầu việc</t>
  </si>
  <si>
    <t>Output / Sản phẩm bàn giao</t>
  </si>
  <si>
    <t>Phụ thuộc</t>
  </si>
  <si>
    <t>Trạng thái</t>
  </si>
  <si>
    <t>AI-01</t>
  </si>
  <si>
    <t>P0 - Nền móng</t>
  </si>
  <si>
    <t>TV1</t>
  </si>
  <si>
    <t>AI/RAG</t>
  </si>
  <si>
    <t>-</t>
  </si>
  <si>
    <t>Chưa bắt đầu</t>
  </si>
  <si>
    <t>AI-02</t>
  </si>
  <si>
    <t>Cài Ollama, tải Qwen/Llama, chạy thử inference &amp; benchmark latency</t>
  </si>
  <si>
    <t>Bảng benchmark latency 3-5 model, chọn model chạy Local</t>
  </si>
  <si>
    <t>AI-03</t>
  </si>
  <si>
    <t>Nghiên cứu &amp; chọn embedding model đa ngữ, POC embedding</t>
  </si>
  <si>
    <t>Báo cáo so sánh model, POC encode text-&gt;vector</t>
  </si>
  <si>
    <t>AI-04</t>
  </si>
  <si>
    <t>BE-03</t>
  </si>
  <si>
    <t>AI-05</t>
  </si>
  <si>
    <t>P1 - MVP</t>
  </si>
  <si>
    <t>Viết document loaders (PDF/Word/Excel) + làm sạch lỗi OCR</t>
  </si>
  <si>
    <t>Module đọc &amp; trích text sạch từ 3 định dạng</t>
  </si>
  <si>
    <t>AI-06</t>
  </si>
  <si>
    <t>Chunking (Recursive Character Text Splitter) + embedding -&gt; FAISS</t>
  </si>
  <si>
    <t>Upload tài liệu -&gt; chunk -&gt; lưu vector DB thành công</t>
  </si>
  <si>
    <t>AI-07</t>
  </si>
  <si>
    <t>Xây retrieval (similarity search) + luồng RAG cơ bản</t>
  </si>
  <si>
    <t>Hỏi -&gt; trả lời bám dữ liệu tài liệu upload</t>
  </si>
  <si>
    <t>AI-08</t>
  </si>
  <si>
    <t>P2 - Tính năng</t>
  </si>
  <si>
    <t>Tối ưu retrieval (top-k, metadata filter, re-rank tùy chọn)</t>
  </si>
  <si>
    <t>Retrieval chính xác hơn, có filter theo doanh nghiệp</t>
  </si>
  <si>
    <t>AI-09</t>
  </si>
  <si>
    <t>AI-10</t>
  </si>
  <si>
    <t>Đóng gói RAG thành service/tool cho Agent của TV2</t>
  </si>
  <si>
    <t>Agent gọi được RAG như 1 tool ổn định</t>
  </si>
  <si>
    <t>AI-09;AG-08</t>
  </si>
  <si>
    <t>AI-11</t>
  </si>
  <si>
    <t>P3 - Tích hợp</t>
  </si>
  <si>
    <t>BE-10;AI-10</t>
  </si>
  <si>
    <t>AI-12</t>
  </si>
  <si>
    <t>AI-11;FE-11</t>
  </si>
  <si>
    <t>AI-13</t>
  </si>
  <si>
    <t>P4 - Kiểm thử+BC</t>
  </si>
  <si>
    <t>Đo latency phục vụ đánh giá hiệu năng (hỗ trợ TV2)</t>
  </si>
  <si>
    <t>Số liệu latency suy luận &amp; streaming cho báo cáo</t>
  </si>
  <si>
    <t>AI-14</t>
  </si>
  <si>
    <t>AG-01</t>
  </si>
  <si>
    <t>TV2</t>
  </si>
  <si>
    <t>Agent/Eval</t>
  </si>
  <si>
    <t>Nghiên cứu framework multi-agent (LangGraph/CrewAI/custom)</t>
  </si>
  <si>
    <t>Báo cáo lựa chọn framework + lý do</t>
  </si>
  <si>
    <t>AG-02</t>
  </si>
  <si>
    <t>Thiết kế workflow 3 Agent + schema Pydantic cho JSON contract</t>
  </si>
  <si>
    <t>Sơ đồ workflow + file schema Pydantic bản nháp</t>
  </si>
  <si>
    <t>AG-03</t>
  </si>
  <si>
    <t>Agent trích xuất đặc trưng (Extracting Features) + prompt Persona</t>
  </si>
  <si>
    <t>Agent trả về danh sách đặc trưng sản phẩm từ vector DB</t>
  </si>
  <si>
    <t>AG-02;AI-06</t>
  </si>
  <si>
    <t>AG-04</t>
  </si>
  <si>
    <t>Agent sinh nội dung (Description Generating) + prompt Output Automater</t>
  </si>
  <si>
    <t>Sinh bài viết/caption theo cấu trúc lệnh (JSON)</t>
  </si>
  <si>
    <t>AG-05</t>
  </si>
  <si>
    <t>Agent hậu kiểm (Post-checking &amp; Editing) - Fact Check List &amp; Reflection</t>
  </si>
  <si>
    <t>Pipeline 3 Agent cho ra bài đã tự kiểm &amp; chỉnh sửa</t>
  </si>
  <si>
    <t>AG-04;AI-07</t>
  </si>
  <si>
    <t>AG-06</t>
  </si>
  <si>
    <t>Module AI lập kế hoạch tuần/tháng (theo mùa vụ + sản phẩm)</t>
  </si>
  <si>
    <t>AI đề xuất kế hoạch: sản phẩm, thông điệp, kênh</t>
  </si>
  <si>
    <t>AG-07</t>
  </si>
  <si>
    <t>Tích hợp long-tail keyword vào luồng sinh nội dung SEO</t>
  </si>
  <si>
    <t>Bài viết nhắm từ khóa đuôi dài, cải thiện SEO</t>
  </si>
  <si>
    <t>AG-08</t>
  </si>
  <si>
    <t>Ổn định JSON output bằng Pydantic + ghép với RAG của TV1</t>
  </si>
  <si>
    <t>Output JSON chuẩn 100%, không lỗi định dạng</t>
  </si>
  <si>
    <t>AG-07;AI-09</t>
  </si>
  <si>
    <t>AG-09</t>
  </si>
  <si>
    <t>AG-10</t>
  </si>
  <si>
    <t>AG-11</t>
  </si>
  <si>
    <t>AG-09;AG-10</t>
  </si>
  <si>
    <t>AG-12</t>
  </si>
  <si>
    <t>AG-11;AI-13</t>
  </si>
  <si>
    <t>AG-13</t>
  </si>
  <si>
    <t>Viết chương đánh giá/kiểm thử + demo</t>
  </si>
  <si>
    <t>Chương phương pháp &amp; kết quả đánh giá</t>
  </si>
  <si>
    <t>BE-01</t>
  </si>
  <si>
    <t>TV3</t>
  </si>
  <si>
    <t>Backend</t>
  </si>
  <si>
    <t>BE-02</t>
  </si>
  <si>
    <t>Thiết kế schema DB + ERD (users, businesses, campaigns, posts, KB, feedback)</t>
  </si>
  <si>
    <t>File ERD + script tạo bảng</t>
  </si>
  <si>
    <t>BE-04</t>
  </si>
  <si>
    <t>BE-05</t>
  </si>
  <si>
    <t>Quản lý user/RBAC + CRUD chiến dịch &amp; bài đăng</t>
  </si>
  <si>
    <t>API CRUD đầy đủ, phân quyền theo vai trò</t>
  </si>
  <si>
    <t>BE-06</t>
  </si>
  <si>
    <t>BE-05;AI-05</t>
  </si>
  <si>
    <t>BE-07</t>
  </si>
  <si>
    <t>BE-06;AI-09</t>
  </si>
  <si>
    <t>BE-08</t>
  </si>
  <si>
    <t>Module scheduler (lịch chiến dịch, cron đăng bài theo lịch)</t>
  </si>
  <si>
    <t>API lịch + job chạy đúng thời điểm</t>
  </si>
  <si>
    <t>BE-09</t>
  </si>
  <si>
    <t>Điều phối gọi AI (kế hoạch/sinh bài) async + lưu Golden Sample/feedback</t>
  </si>
  <si>
    <t>Backend orchestrate full luồng sinh bài</t>
  </si>
  <si>
    <t>BE-08;AG-08</t>
  </si>
  <si>
    <t>BE-10</t>
  </si>
  <si>
    <t>BE-11</t>
  </si>
  <si>
    <t>Hoàn thiện xử lý lỗi, retry, đảm bảo toàn vẹn dữ liệu (ACID)</t>
  </si>
  <si>
    <t>Hệ thống bền vững, không mất/hỏng dữ liệu</t>
  </si>
  <si>
    <t>BE-12</t>
  </si>
  <si>
    <t>BE-13</t>
  </si>
  <si>
    <t>FE-01</t>
  </si>
  <si>
    <t>TV4</t>
  </si>
  <si>
    <t>FE-02</t>
  </si>
  <si>
    <t>FE-03</t>
  </si>
  <si>
    <t>FE-04</t>
  </si>
  <si>
    <t>FE-05</t>
  </si>
  <si>
    <t>FE-06</t>
  </si>
  <si>
    <t>FE-07</t>
  </si>
  <si>
    <t>FE-08</t>
  </si>
  <si>
    <t>FE-09</t>
  </si>
  <si>
    <t>FE-10</t>
  </si>
  <si>
    <t>FE-11</t>
  </si>
  <si>
    <t>FE-12</t>
  </si>
  <si>
    <t>FE-13</t>
  </si>
  <si>
    <t>TV1 - AI/RAG</t>
  </si>
  <si>
    <t>TV2 - Agent/Eval</t>
  </si>
  <si>
    <t>TV3 - Backend</t>
  </si>
  <si>
    <t>TV4 - FE/DevOps</t>
  </si>
  <si>
    <t>Tuần 1</t>
  </si>
  <si>
    <t>[AI-01] Cài môi trường Python/FastAPI, khởi tạo project skeleton
[AI-02] Cài Ollama, tải Qwen/Llama, chạy thử inference &amp; benchmark latency</t>
  </si>
  <si>
    <t>[AG-01] Nghiên cứu framework multi-agent (LangGraph/CrewAI/custom)</t>
  </si>
  <si>
    <t>[BE-01] Khởi tạo Spring Boot project + cấu hình MySQL</t>
  </si>
  <si>
    <t>Tuần 2</t>
  </si>
  <si>
    <t>[AI-03] Nghiên cứu &amp; chọn embedding model đa ngữ, POC embedding
[AI-04] Thiết kế kiến trúc pipeline RAG &amp; chốt API contract với TV3</t>
  </si>
  <si>
    <t>[AG-02] Thiết kế workflow 3 Agent + schema Pydantic cho JSON contract</t>
  </si>
  <si>
    <t>[BE-02] Thiết kế schema DB + ERD (users, businesses, campaigns, posts, KB, feedback)
[BE-03] Chốt &amp; tài liệu hóa API contract (REST) với cả nhóm</t>
  </si>
  <si>
    <t>Tuần 3</t>
  </si>
  <si>
    <t>[AI-05] Viết document loaders (PDF/Word/Excel) + làm sạch lỗi OCR</t>
  </si>
  <si>
    <t>[AG-03] Agent trích xuất đặc trưng (Extracting Features) + prompt Persona</t>
  </si>
  <si>
    <t>[BE-04] Cài JWT Access/Refresh Token + chống XSS</t>
  </si>
  <si>
    <t>Tuần 4</t>
  </si>
  <si>
    <t>[AI-06] Chunking (Recursive Character Text Splitter) + embedding -&gt; FAISS</t>
  </si>
  <si>
    <t>[AG-04] Agent sinh nội dung (Description Generating) + prompt Output Automater</t>
  </si>
  <si>
    <t>[BE-05] Quản lý user/RBAC + CRUD chiến dịch &amp; bài đăng</t>
  </si>
  <si>
    <t>Tuần 5</t>
  </si>
  <si>
    <t>[AI-07] Xây retrieval (similarity search) + luồng RAG cơ bản</t>
  </si>
  <si>
    <t>[AG-05] Agent hậu kiểm (Post-checking &amp; Editing) - Fact Check List &amp; Reflection</t>
  </si>
  <si>
    <t>[BE-06] Tích hợp Amazon S3 + luồng forward file sang AI service</t>
  </si>
  <si>
    <t>Tuần 6</t>
  </si>
  <si>
    <t>[AI-08] Tối ưu retrieval (top-k, metadata filter, re-rank tùy chọn)</t>
  </si>
  <si>
    <t>[AG-06] Module AI lập kế hoạch tuần/tháng (theo mùa vụ + sản phẩm)</t>
  </si>
  <si>
    <t>[BE-07] WebSocket + STOMP streaming nội dung AI -&gt; frontend</t>
  </si>
  <si>
    <t>Tuần 7</t>
  </si>
  <si>
    <t>[AI-09] Streaming token từ LLM + hỗ trợ đa knowledge base (multi-tenant)</t>
  </si>
  <si>
    <t>[AG-07] Tích hợp long-tail keyword vào luồng sinh nội dung SEO</t>
  </si>
  <si>
    <t>[BE-08] Module scheduler (lịch chiến dịch, cron đăng bài theo lịch)</t>
  </si>
  <si>
    <t>Tuần 8</t>
  </si>
  <si>
    <t>[AI-10] Đóng gói RAG thành service/tool cho Agent của TV2</t>
  </si>
  <si>
    <t>[AG-08] Ổn định JSON output bằng Pydantic + ghép với RAG của TV1</t>
  </si>
  <si>
    <t>[BE-09] Điều phối gọi AI (kế hoạch/sinh bài) async + lưu Golden Sample/feedback</t>
  </si>
  <si>
    <t>Tuần 9</t>
  </si>
  <si>
    <t>[AI-11] Tích hợp AI service &lt;-&gt; Java backend, xử lý lỗi &amp; timeout</t>
  </si>
  <si>
    <t>[AG-09] Xây framework LLM-as-a-judge (Tính trung thực &amp; Phù hợp ngữ cảnh)
[AG-10] Tích hợp Ahrefs API để chấm điểm SEO tự động</t>
  </si>
  <si>
    <t>[BE-10] Tích hợp AI + FE + trigger auto-posting, xử lý transaction</t>
  </si>
  <si>
    <t>Tuần 10</t>
  </si>
  <si>
    <t>[AI-12] Test end-to-end từ FE, giảm latency, xử lý edge case</t>
  </si>
  <si>
    <t>[AG-11] Thiết kế &amp; chạy so sánh RAG vs LLM thuần (đo tỷ lệ ảo giác)</t>
  </si>
  <si>
    <t>[BE-11] Hoàn thiện xử lý lỗi, retry, đảm bảo toàn vẹn dữ liệu (ACID)</t>
  </si>
  <si>
    <t>Tuần 11</t>
  </si>
  <si>
    <t>[AI-13] Đo latency phục vụ đánh giá hiệu năng (hỗ trợ TV2)</t>
  </si>
  <si>
    <t>[AG-12] Chạy full thí nghiệm, thu thập số liệu, vẽ biểu đồ</t>
  </si>
  <si>
    <t>[BE-12] Test tải/ổn định + viết tài liệu API (Swagger)</t>
  </si>
  <si>
    <t>Tuần 12</t>
  </si>
  <si>
    <t>[AI-14] Viết chương RAG trong thuyết minh + chuẩn bị demo</t>
  </si>
  <si>
    <t>[AG-13] Viết chương đánh giá/kiểm thử + demo</t>
  </si>
  <si>
    <t>[BE-13] Viết chương kiến trúc/backend + demo</t>
  </si>
  <si>
    <t>MỐC QUAN TRỌNG (MILESTONES)</t>
  </si>
  <si>
    <t>Mốc</t>
  </si>
  <si>
    <t>Mục tiêu</t>
  </si>
  <si>
    <t>Cuối Tuần 2</t>
  </si>
  <si>
    <t>Cuối Tuần 5</t>
  </si>
  <si>
    <t>Cuối Tuần 8</t>
  </si>
  <si>
    <t>Cuối Tuần 10</t>
  </si>
  <si>
    <t>Cuối Tuần 12</t>
  </si>
  <si>
    <t>THEO DÕI TIẾN ĐỘ</t>
  </si>
  <si>
    <t>Số lượng</t>
  </si>
  <si>
    <t>Đang làm</t>
  </si>
  <si>
    <t>Đã xong</t>
  </si>
  <si>
    <t>Trễ</t>
  </si>
  <si>
    <t>Tổng cộng</t>
  </si>
  <si>
    <t>% Hoàn thành</t>
  </si>
  <si>
    <t>Tiêu chí nghiệm thu chính</t>
  </si>
  <si>
    <t>Bằng chứng / lưu ý Local-first</t>
  </si>
  <si>
    <t>Khởi tạo FastAPI local sidecar, cấu hình loopback và endpoint health</t>
  </si>
  <si>
    <t>AI Service chạy trên 127.0.0.1; /health trả 200 và không mở ra LAN</t>
  </si>
  <si>
    <t>Khởi động/dừng lặp lại được; health có version; port chỉ bind loopback; có test smoke.</t>
  </si>
  <si>
    <t>Thiết kế pipeline RAG local và chốt contract AI ↔ Backend</t>
  </si>
  <si>
    <t>Sơ đồ pipeline + JSON contract + quy ước timeout/error/stream</t>
  </si>
  <si>
    <t>TV1/TV2/TV3 xác nhận contract; không có Pinecone/cloud LLM trong đường dữ liệu mặc định.</t>
  </si>
  <si>
    <t>Streaming token và nhiều knowledge base cô lập theo tenant trên FAISS local</t>
  </si>
  <si>
    <t>API stream ổn định; tenant A không truy xuất được dữ liệu tenant B</t>
  </si>
  <si>
    <t>Có test cô lập tenant, sequence stream, timeout và ngắt kết nối; không bind LAN.</t>
  </si>
  <si>
    <t>Tích hợp AI sidecar với Spring Boot local, xử lý timeout/retry/cancel</t>
  </si>
  <si>
    <t>Backend loopback gọi AI thành công; lỗi được chuẩn hóa và không treo ứng dụng</t>
  </si>
  <si>
    <t>Có integration test, retry hữu hạn, cancellation và traceId; không ghi prompt/secret vào log.</t>
  </si>
  <si>
    <t>Test end-to-end Desktop → Backend → AI và tối ưu latency/edge case</t>
  </si>
  <si>
    <t>Luồng trong Electron chạy ổn định cả offline; có xử lý file rỗng/câu hỏi ngoài phạm vi</t>
  </si>
  <si>
    <t>Có checklist E2E và số liệu; tắt Internet vẫn ingest, RAG và generate được.</t>
  </si>
  <si>
    <t>Đóng gói AI sidecar, viết chương RAG/Desktop và chuẩn bị demo</t>
  </si>
  <si>
    <t>Artifact AI có version + hướng dẫn chạy/đóng gói + chương RAG</t>
  </si>
  <si>
    <t>Artifact chạy trên máy không có môi trường dev hoặc có prerequisite được mô tả rõ; nội dung khớp bản phát hành.</t>
  </si>
  <si>
    <t>Xây framework Local LLM-as-a-judge cho tính trung thực và phù hợp ngữ cảnh</t>
  </si>
  <si>
    <t>Bộ chấm local, rubric và kết quả mẫu tái lập được</t>
  </si>
  <si>
    <t>Không gửi bài/context lên cloud; rubric/version model/seed được ghi; có kiểm tra độ ổn định.</t>
  </si>
  <si>
    <t>Xây bộ chấm SEO offline; Ahrefs chỉ là adapter opt-in</t>
  </si>
  <si>
    <t>Điểm SEO local cho từng bài và giải thích tiêu chí</t>
  </si>
  <si>
    <t>Chạy được khi mất Internet; nếu thử Ahrefs phải có consent và không gửi dữ liệu nhạy cảm.</t>
  </si>
  <si>
    <t>Thiết kế và chạy so sánh RAG với LLM thuần hoàn toàn local</t>
  </si>
  <si>
    <t>Bảng số liệu độ trung thực, ảo giác và SEO</t>
  </si>
  <si>
    <t>Cùng model/cấu hình/tập mẫu; phương pháp đủ để chạy lại; không phụ thuộc cloud judge.</t>
  </si>
  <si>
    <t>Chạy full thí nghiệm local, tổng hợp số liệu tài nguyên và biểu đồ</t>
  </si>
  <si>
    <t>Bộ kết quả gồm accuracy, SEO, latency, RAM/CPU/GPU</t>
  </si>
  <si>
    <t>Dữ liệu nguồn, cấu hình model và script được version hóa; biểu đồ khớp bảng số liệu.</t>
  </si>
  <si>
    <t>Khởi tạo Spring Boot + MySQL local, bind loopback và health endpoint</t>
  </si>
  <si>
    <t>Backend chạy trên 127.0.0.1, kết nối MySQL local, migration thành công</t>
  </si>
  <si>
    <t>Không lắng nghe trên LAN; health không lộ secret; migration chạy lại an toàn.</t>
  </si>
  <si>
    <t>Chốt REST/STOMP contract và runtime contract với Electron</t>
  </si>
  <si>
    <t>OpenAPI draft + STOMP envelope + health/startup/shutdown contract</t>
  </si>
  <si>
    <t>TV1/TV2/TV4 xác nhận; có request/response/error/state machine và version contract.</t>
  </si>
  <si>
    <t>JWT Access/Refresh, RBAC và bảo vệ phiên local Desktop</t>
  </si>
  <si>
    <t>Login/refresh/logout hoạt động; route/API được phân quyền</t>
  </si>
  <si>
    <t>Refresh/revoke đúng; chống XSS/CSRF theo cách lưu token; renderer không giữ secret dài hạn.</t>
  </si>
  <si>
    <t>Lưu tệp cục bộ an toàn và chuyển tài liệu sang AI sidecar</t>
  </si>
  <si>
    <t>Upload → file local → AI ingest; không dùng Amazon S3 trong MVP</t>
  </si>
  <si>
    <t>Chống path traversal, kiểm tra MIME/size, tên lưu riêng; renderer không nhận absolute path.</t>
  </si>
  <si>
    <t>WebSocket/STOMP loopback chuyển tiếp stream AI tới Desktop</t>
  </si>
  <si>
    <t>Kênh realtime có auth, heartbeat, sequence và terminal event</t>
  </si>
  <si>
    <t>Reconnect không tạo dữ liệu trùng; lỗi/timeout/cancel rõ; chỉ bind loopback.</t>
  </si>
  <si>
    <t>Tích hợp AI + Desktop và đăng trực tiếp Facebook sau khi duyệt</t>
  </si>
  <si>
    <t>Luồng end-to-end; Backend gọi Facebook Graph API, không dùng Google Sheets</t>
  </si>
  <si>
    <t>Chỉ bài APPROVED được gửi; consent rõ; token không trả về renderer; có idempotency.</t>
  </si>
  <si>
    <t>Test tải/ổn định, Swagger và đóng gói Backend sidecar cùng Java runtime</t>
  </si>
  <si>
    <t>Báo cáo test + OpenAPI + artifact Backend có version</t>
  </si>
  <si>
    <t>Artifact khởi động/health/shutdown theo contract Electron; p95 và giới hạn tải được ghi.</t>
  </si>
  <si>
    <t>Viết chương Backend/Desktop, bảo mật local-first và demo</t>
  </si>
  <si>
    <t>Chương kiến trúc/backend khớp artifact phát hành</t>
  </si>
  <si>
    <t>Mô tả đúng loopback, file local, credential, scheduler, Facebook adapter và kịch bản lỗi.</t>
  </si>
  <si>
    <t>Frontend/Desktop</t>
  </si>
  <si>
    <t>Hoàn thiện React/Vite renderer, routing, design system và error boundary</t>
  </si>
  <si>
    <t>Renderer lint/test/build đạt; các route nghiệp vụ chạy bằng mock</t>
  </si>
  <si>
    <t>npm run lint, npm test, npm run build đều đạt; không có trang trắng khi route lỗi.</t>
  </si>
  <si>
    <t>Tạo Electron main/preload, BrowserWindow an toàn và IPC whitelist</t>
  </si>
  <si>
    <t>Desktop shell mở renderer; nodeIntegration=false, contextIsolation/sandbox bật</t>
  </si>
  <si>
    <t>Có test preload/IPC; renderer không truy cập Node/fs/shell trực tiếp; chặn navigation ngoài allowlist.</t>
  </si>
  <si>
    <t>Hoàn thiện wireframe Desktop gồm setup, service health và toàn bộ luồng nghiệp vụ</t>
  </si>
  <si>
    <t>Bộ wireframe/màn hình có loading, empty, error và trạng thái offline</t>
  </si>
  <si>
    <t>FE-01;FE-02</t>
  </si>
  <si>
    <t>Bao phủ login → upload → plan → generate → review → schedule → logs và màn khắc phục service lỗi.</t>
  </si>
  <si>
    <t>UI Auth nối Backend local, refresh/logout và protected routes</t>
  </si>
  <si>
    <t>Login/register/session trong app; lỗi 401/403 rõ</t>
  </si>
  <si>
    <t>FE-02;BE-04</t>
  </si>
  <si>
    <t>Không giữ refresh secret dài hạn trong renderer; route guard, refresh single-flight và logout có test.</t>
  </si>
  <si>
    <t>Dashboard và upload tri thức vào lưu trữ local</t>
  </si>
  <si>
    <t>Upload PDF/DOCX/XLSX, theo dõi PROCESSING/INDEXED/FAILED</t>
  </si>
  <si>
    <t>FE-04;BE-06;AI-05</t>
  </si>
  <si>
    <t>Có progress/error/retry; không hiển thị absolute path; file lỗi không làm app trắng.</t>
  </si>
  <si>
    <t>Màn chiến dịch/kế hoạch và editor nội dung</t>
  </si>
  <si>
    <t>Plan tuần/tháng, editor lưu/chuyển trạng thái đúng</t>
  </si>
  <si>
    <t>FE-05;BE-05;AG-06</t>
  </si>
  <si>
    <t>Loading/empty/error; validation; state transition và autosave/lưu thủ công rõ ràng.</t>
  </si>
  <si>
    <t>STOMP client loopback hiển thị streaming realtime</t>
  </si>
  <si>
    <t>Token/progress/done/error hiện dần; reconnect an toàn</t>
  </si>
  <si>
    <t>FE-06;BE-07;AI-09</t>
  </si>
  <si>
    <t>Parser/sequence/reconnect có test; mất kết nối không nhân đôi nội dung; TTFT được đo.</t>
  </si>
  <si>
    <t>Desktop integration: Setup Assistant, service health, notification và diagnostics</t>
  </si>
  <si>
    <t>Màn trạng thái Backend/AI/Ollama/MySQL; restart có kiểm soát; thông báo desktop</t>
  </si>
  <si>
    <t>FE-02;BE-01;AI-01</t>
  </si>
  <si>
    <t>Service lỗi có nguyên nhân/cách sửa; IPC validate payload; log chẩn đoán không chứa token/nội dung nhạy cảm.</t>
  </si>
  <si>
    <t>UI tích hợp Facebook, consent, lịch đăng, publish logs và retry</t>
  </si>
  <si>
    <t>Người dùng thấy dữ liệu sắp rời máy; kết quả đăng và lỗi hiển thị rõ</t>
  </si>
  <si>
    <t>FE-08;BE-08;BE-10</t>
  </si>
  <si>
    <t>Renderer không nhận raw token; chỉ bài APPROVED được gửi; retry không tạo bài trùng.</t>
  </si>
  <si>
    <t>Workflow duyệt bài và ghi nhận Golden Sample/feedback</t>
  </si>
  <si>
    <t>Editor/reviewer sửa, gửi duyệt, approve/reject và lưu feedback</t>
  </si>
  <si>
    <t>FE-06;BE-09</t>
  </si>
  <si>
    <t>RBAC/state rõ; chống stored XSS; lịch sử chỉnh sửa/Golden Sample lưu qua Backend.</t>
  </si>
  <si>
    <t>Quản lý vòng đời local sidecar và trạng thái offline/reconnect</t>
  </si>
  <si>
    <t>Electron start/health/restart/shutdown Backend/AI; không để process mồ côi</t>
  </si>
  <si>
    <t>FE-02;BE-12;AI-14</t>
  </si>
  <si>
    <t>Single instance; cổng không xung đột; shutdown timeout; app mở lại phục hồi trạng thái và dữ liệu.</t>
  </si>
  <si>
    <t>Đóng gói Electron Forge/Squirrel thành Windows Setup.exe</t>
  </si>
  <si>
    <t>SME-Marketing-Automation-Setup.exe + checksum + hướng dẫn cài/gỡ</t>
  </si>
  <si>
    <t>Cài/mở/gỡ trên máy sạch; shortcut/version/icon đúng; không cần browser; dữ liệu chỉ xóa khi người dùng chọn.</t>
  </si>
  <si>
    <t>Viết chương FE/Desktop, hướng dẫn cài đặt và chuẩn bị demo</t>
  </si>
  <si>
    <t>Chương tài liệu + sơ đồ + test evidence + video/kịch bản fallback</t>
  </si>
  <si>
    <t>Nội dung khớp installer cuối; demo offline và lỗi service có phương án; bằng chứng đóng góp rõ.</t>
  </si>
  <si>
    <t>Unit/integration test, input-output mẫu, log latency/tài nguyên; không gọi cloud AI/vector DB.</t>
  </si>
  <si>
    <t>Sản phẩm bàn giao chạy lại được theo hướng dẫn, đạt test liên quan, xử lý lỗi chính và được ít nhất một thành viên review.</t>
  </si>
  <si>
    <t>Schema/rubric/tập mẫu/version model và kết quả tái lập; mặc định chạy offline.</t>
  </si>
  <si>
    <t>Test, migration/OpenAPI/health log; bind 127.0.0.1; secret không nằm trong source/log.</t>
  </si>
  <si>
    <t>Ảnh/video, test report, IPC/API evidence; không để secret trong renderer.</t>
  </si>
  <si>
    <t>[FE-01] React/Vite renderer, design system, routing
[FE-02] Electron main/preload + secure IPC</t>
  </si>
  <si>
    <t>[FE-03] Desktop wireframe: setup, service health và toàn bộ luồng</t>
  </si>
  <si>
    <t>[FE-04] Auth UI nối Backend local</t>
  </si>
  <si>
    <t>[FE-05] Dashboard + upload file local</t>
  </si>
  <si>
    <t>[FE-06] Campaign/plan/editor</t>
  </si>
  <si>
    <t>[FE-07] STOMP loopback streaming</t>
  </si>
  <si>
    <t>[FE-08] Setup Assistant, service health, notification</t>
  </si>
  <si>
    <t>[FE-09] Facebook consent/schedule/log UI</t>
  </si>
  <si>
    <t>[FE-10] Review + Golden Sample</t>
  </si>
  <si>
    <t>[FE-11] Sidecar lifecycle + offline/reconnect</t>
  </si>
  <si>
    <t>[FE-12] Windows Setup.exe + clean-machine test</t>
  </si>
  <si>
    <t>[FE-13] Chương FE/Desktop + cài đặt + demo</t>
  </si>
  <si>
    <t>Electron mở renderer; REST/STOMP/IPC contract được duyệt; service chỉ bind loopback</t>
  </si>
  <si>
    <t>Desktop login → upload local → FAISS/RAG có dẫn chứng; plan/editor hoạt động</t>
  </si>
  <si>
    <t>Pipeline 3 Agent và streaming chạy trong app; xử lý vẫn hoạt động offline</t>
  </si>
  <si>
    <t>Full flow upload → plan → generate → review → schedule → Facebook/log</t>
  </si>
  <si>
    <t>Setup.exe cài/chạy/gỡ trên máy sạch + kết quả đánh giá + báo cáo + demo</t>
  </si>
  <si>
    <t>KIẾN TRÚC DESKTOP 2.0 — LOCAL-FIRST</t>
  </si>
  <si>
    <t>Thành phần</t>
  </si>
  <si>
    <t>Công nghệ</t>
  </si>
  <si>
    <t>Vị trí chạy</t>
  </si>
  <si>
    <t>Nguyên tắc</t>
  </si>
  <si>
    <t>Desktop shell</t>
  </si>
  <si>
    <t>Electron main + preload</t>
  </si>
  <si>
    <t>Windows app</t>
  </si>
  <si>
    <t>Secure IPC, sandbox, không remote code</t>
  </si>
  <si>
    <t>Renderer</t>
  </si>
  <si>
    <t>React/TypeScript/Vite</t>
  </si>
  <si>
    <t>Trong Electron</t>
  </si>
  <si>
    <t>Không Node/fs/secret trực tiếp</t>
  </si>
  <si>
    <t>Core Backend</t>
  </si>
  <si>
    <t>Java 17 + Spring Boot</t>
  </si>
  <si>
    <t>127.0.0.1</t>
  </si>
  <si>
    <t>REST/STOMP, auth, scheduler, Facebook adapter</t>
  </si>
  <si>
    <t>AI Service</t>
  </si>
  <si>
    <t>Python/FastAPI</t>
  </si>
  <si>
    <t>RAG/Agent/Evaluation offline</t>
  </si>
  <si>
    <t>LLM</t>
  </si>
  <si>
    <t>Ollama</t>
  </si>
  <si>
    <t>Máy người dùng</t>
  </si>
  <si>
    <t>Không cloud LLM</t>
  </si>
  <si>
    <t>Vector DB</t>
  </si>
  <si>
    <t>FAISS</t>
  </si>
  <si>
    <t>Không Pinecone</t>
  </si>
  <si>
    <t>Tệp</t>
  </si>
  <si>
    <t>Local app data</t>
  </si>
  <si>
    <t>Không S3 trong MVP</t>
  </si>
  <si>
    <t>Auto-post</t>
  </si>
  <si>
    <t>Facebook Graph API</t>
  </si>
  <si>
    <t>Chỉ khi publish</t>
  </si>
  <si>
    <t>Không Google Sheets; chỉ bài APPROVED</t>
  </si>
  <si>
    <t>Release</t>
  </si>
  <si>
    <t>Electron Forge/Squirrel</t>
  </si>
  <si>
    <t>Setup.exe</t>
  </si>
  <si>
    <t>Docker chỉ dùng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</si>
</sst>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3"/>
      <color rgb="FF1F4E78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  <charset val="1"/>
    </font>
    <font>
      <b/>
      <sz val="16"/>
      <color theme="1"/>
      <name val="Calibri"/>
      <family val="2"/>
    </font>
    <font>
      <b/>
      <sz val="11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AF1FB"/>
      </patternFill>
    </fill>
    <fill>
      <patternFill patternType="solid">
        <fgColor rgb="FFBDD7EE"/>
        <bgColor rgb="FFC6E0B4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DE2"/>
      </patternFill>
    </fill>
    <fill>
      <patternFill patternType="solid">
        <fgColor rgb="FFFCE4D6"/>
        <bgColor rgb="FFFCEDE2"/>
      </patternFill>
    </fill>
    <fill>
      <patternFill patternType="solid">
        <fgColor rgb="FFEDEDED"/>
        <bgColor rgb="FFEAF1FB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EAF1FB"/>
        <bgColor rgb="FFEDEDED"/>
      </patternFill>
    </fill>
    <fill>
      <patternFill patternType="solid">
        <fgColor rgb="FFEEF6E8"/>
        <bgColor rgb="FFEDEDED"/>
      </patternFill>
    </fill>
    <fill>
      <patternFill patternType="solid">
        <fgColor rgb="FFFFF8E6"/>
        <bgColor rgb="FFFCEDE2"/>
      </patternFill>
    </fill>
    <fill>
      <patternFill patternType="solid">
        <fgColor rgb="FFFCEDE2"/>
        <bgColor rgb="FFFCE4D6"/>
      </patternFill>
    </fill>
    <fill>
      <patternFill patternType="solid">
        <fgColor rgb="FFA03070"/>
        <bgColor rgb="FF003366"/>
      </patternFill>
    </fill>
    <fill>
      <patternFill patternType="solid">
        <fgColor rgb="FFA0307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6" fillId="0" borderId="0" xfId="0" applyFont="1"/>
    <xf numFmtId="9" fontId="6" fillId="0" borderId="0" xfId="0" applyNumberFormat="1" applyFont="1"/>
    <xf numFmtId="0" fontId="10" fillId="17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0" fillId="0" borderId="0" xfId="0"/>
    <xf numFmtId="0" fontId="7" fillId="16" borderId="2" xfId="0" applyFont="1" applyFill="1" applyBorder="1" applyAlignment="1">
      <alignment horizontal="center" vertical="top" wrapText="1"/>
    </xf>
    <xf numFmtId="0" fontId="8" fillId="17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DE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8E6"/>
      <rgbColor rgb="FF00FFFF"/>
      <rgbColor rgb="FF800080"/>
      <rgbColor rgb="FF800000"/>
      <rgbColor rgb="FF008080"/>
      <rgbColor rgb="FF0000FF"/>
      <rgbColor rgb="FF00CCFF"/>
      <rgbColor rgb="FFEAF1FB"/>
      <rgbColor rgb="FFE2EFDA"/>
      <rgbColor rgb="FFFFE699"/>
      <rgbColor rgb="FFC6E0B4"/>
      <rgbColor rgb="FFFCE4D6"/>
      <rgbColor rgb="FFEDEDED"/>
      <rgbColor rgb="FFF4B183"/>
      <rgbColor rgb="FF3366FF"/>
      <rgbColor rgb="FF33CCCC"/>
      <rgbColor rgb="FF99CC00"/>
      <rgbColor rgb="FFEEF6E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5A27-DA7B-43FE-87F4-F2023AB446BC}">
  <dimension ref="A1:D12"/>
  <sheetViews>
    <sheetView workbookViewId="0">
      <selection sqref="A1:D1"/>
    </sheetView>
  </sheetViews>
  <sheetFormatPr defaultRowHeight="14.5" x14ac:dyDescent="0.35"/>
  <cols>
    <col min="1" max="1" width="20.6328125" customWidth="1"/>
    <col min="2" max="2" width="28.6328125" customWidth="1"/>
    <col min="3" max="3" width="22.6328125" customWidth="1"/>
    <col min="4" max="4" width="48.6328125" customWidth="1"/>
  </cols>
  <sheetData>
    <row r="1" spans="1:4" ht="21" x14ac:dyDescent="0.5">
      <c r="A1" s="24" t="s">
        <v>325</v>
      </c>
      <c r="B1" s="25"/>
      <c r="C1" s="25"/>
      <c r="D1" s="25"/>
    </row>
    <row r="3" spans="1:4" x14ac:dyDescent="0.35">
      <c r="A3" s="22" t="s">
        <v>326</v>
      </c>
      <c r="B3" s="22" t="s">
        <v>327</v>
      </c>
      <c r="C3" s="22" t="s">
        <v>328</v>
      </c>
      <c r="D3" s="22" t="s">
        <v>329</v>
      </c>
    </row>
    <row r="4" spans="1:4" x14ac:dyDescent="0.35">
      <c r="A4" s="23" t="s">
        <v>330</v>
      </c>
      <c r="B4" s="23" t="s">
        <v>331</v>
      </c>
      <c r="C4" s="23" t="s">
        <v>332</v>
      </c>
      <c r="D4" s="23" t="s">
        <v>333</v>
      </c>
    </row>
    <row r="5" spans="1:4" x14ac:dyDescent="0.35">
      <c r="A5" s="23" t="s">
        <v>334</v>
      </c>
      <c r="B5" s="23" t="s">
        <v>335</v>
      </c>
      <c r="C5" s="23" t="s">
        <v>336</v>
      </c>
      <c r="D5" s="23" t="s">
        <v>337</v>
      </c>
    </row>
    <row r="6" spans="1:4" x14ac:dyDescent="0.35">
      <c r="A6" s="23" t="s">
        <v>338</v>
      </c>
      <c r="B6" s="23" t="s">
        <v>339</v>
      </c>
      <c r="C6" s="23" t="s">
        <v>340</v>
      </c>
      <c r="D6" s="23" t="s">
        <v>341</v>
      </c>
    </row>
    <row r="7" spans="1:4" x14ac:dyDescent="0.35">
      <c r="A7" s="23" t="s">
        <v>342</v>
      </c>
      <c r="B7" s="23" t="s">
        <v>343</v>
      </c>
      <c r="C7" s="23" t="s">
        <v>340</v>
      </c>
      <c r="D7" s="23" t="s">
        <v>344</v>
      </c>
    </row>
    <row r="8" spans="1:4" x14ac:dyDescent="0.35">
      <c r="A8" s="23" t="s">
        <v>345</v>
      </c>
      <c r="B8" s="23" t="s">
        <v>346</v>
      </c>
      <c r="C8" s="23" t="s">
        <v>347</v>
      </c>
      <c r="D8" s="23" t="s">
        <v>348</v>
      </c>
    </row>
    <row r="9" spans="1:4" x14ac:dyDescent="0.35">
      <c r="A9" s="23" t="s">
        <v>349</v>
      </c>
      <c r="B9" s="23" t="s">
        <v>350</v>
      </c>
      <c r="C9" s="23" t="s">
        <v>347</v>
      </c>
      <c r="D9" s="23" t="s">
        <v>351</v>
      </c>
    </row>
    <row r="10" spans="1:4" x14ac:dyDescent="0.35">
      <c r="A10" s="23" t="s">
        <v>352</v>
      </c>
      <c r="B10" s="23" t="s">
        <v>353</v>
      </c>
      <c r="C10" s="23" t="s">
        <v>347</v>
      </c>
      <c r="D10" s="23" t="s">
        <v>354</v>
      </c>
    </row>
    <row r="11" spans="1:4" x14ac:dyDescent="0.35">
      <c r="A11" s="23" t="s">
        <v>355</v>
      </c>
      <c r="B11" s="23" t="s">
        <v>356</v>
      </c>
      <c r="C11" s="23" t="s">
        <v>357</v>
      </c>
      <c r="D11" s="23" t="s">
        <v>358</v>
      </c>
    </row>
    <row r="12" spans="1:4" x14ac:dyDescent="0.35">
      <c r="A12" s="23" t="s">
        <v>359</v>
      </c>
      <c r="B12" s="23" t="s">
        <v>360</v>
      </c>
      <c r="C12" s="23" t="s">
        <v>361</v>
      </c>
      <c r="D12" s="23" t="s">
        <v>362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Normal="100" workbookViewId="0">
      <pane ySplit="1" topLeftCell="A2" activePane="bottomLeft" state="frozenSplit"/>
      <selection pane="bottomLeft"/>
    </sheetView>
  </sheetViews>
  <sheetFormatPr defaultColWidth="8.6328125" defaultRowHeight="14.5" x14ac:dyDescent="0.35"/>
  <cols>
    <col min="1" max="1" width="11.6328125" customWidth="1"/>
    <col min="2" max="2" width="7.6328125" customWidth="1"/>
    <col min="3" max="3" width="18.6328125" customWidth="1"/>
    <col min="4" max="4" width="10.6328125" customWidth="1"/>
    <col min="5" max="5" width="18.6328125" customWidth="1"/>
    <col min="6" max="6" width="42.6328125" customWidth="1"/>
    <col min="7" max="7" width="38.6328125" customWidth="1"/>
    <col min="8" max="8" width="18.6328125" customWidth="1"/>
    <col min="9" max="9" width="14.6328125" customWidth="1"/>
    <col min="10" max="10" width="45.6328125" customWidth="1"/>
    <col min="11" max="11" width="38.6328125" customWidth="1"/>
  </cols>
  <sheetData>
    <row r="1" spans="1:11" ht="28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198</v>
      </c>
      <c r="K1" s="27" t="s">
        <v>199</v>
      </c>
    </row>
    <row r="2" spans="1:11" ht="43.5" x14ac:dyDescent="0.35">
      <c r="A2" s="28" t="s">
        <v>9</v>
      </c>
      <c r="B2" s="28">
        <v>1</v>
      </c>
      <c r="C2" s="29" t="s">
        <v>10</v>
      </c>
      <c r="D2" s="30" t="s">
        <v>11</v>
      </c>
      <c r="E2" s="31" t="s">
        <v>12</v>
      </c>
      <c r="F2" s="31" t="s">
        <v>200</v>
      </c>
      <c r="G2" s="31" t="s">
        <v>201</v>
      </c>
      <c r="H2" s="31" t="s">
        <v>13</v>
      </c>
      <c r="I2" s="28" t="s">
        <v>14</v>
      </c>
      <c r="J2" s="32" t="s">
        <v>202</v>
      </c>
      <c r="K2" s="32" t="s">
        <v>303</v>
      </c>
    </row>
    <row r="3" spans="1:11" ht="43.5" x14ac:dyDescent="0.35">
      <c r="A3" s="28" t="s">
        <v>15</v>
      </c>
      <c r="B3" s="28">
        <v>1</v>
      </c>
      <c r="C3" s="29" t="s">
        <v>10</v>
      </c>
      <c r="D3" s="30" t="s">
        <v>11</v>
      </c>
      <c r="E3" s="31" t="s">
        <v>12</v>
      </c>
      <c r="F3" s="31" t="s">
        <v>16</v>
      </c>
      <c r="G3" s="31" t="s">
        <v>17</v>
      </c>
      <c r="H3" s="31" t="s">
        <v>13</v>
      </c>
      <c r="I3" s="28" t="s">
        <v>14</v>
      </c>
      <c r="J3" s="32" t="s">
        <v>304</v>
      </c>
      <c r="K3" s="32" t="s">
        <v>303</v>
      </c>
    </row>
    <row r="4" spans="1:11" ht="43.5" x14ac:dyDescent="0.35">
      <c r="A4" s="28" t="s">
        <v>18</v>
      </c>
      <c r="B4" s="28">
        <v>2</v>
      </c>
      <c r="C4" s="29" t="s">
        <v>10</v>
      </c>
      <c r="D4" s="30" t="s">
        <v>11</v>
      </c>
      <c r="E4" s="31" t="s">
        <v>12</v>
      </c>
      <c r="F4" s="31" t="s">
        <v>19</v>
      </c>
      <c r="G4" s="31" t="s">
        <v>20</v>
      </c>
      <c r="H4" s="31" t="s">
        <v>9</v>
      </c>
      <c r="I4" s="28" t="s">
        <v>14</v>
      </c>
      <c r="J4" s="32" t="s">
        <v>304</v>
      </c>
      <c r="K4" s="32" t="s">
        <v>303</v>
      </c>
    </row>
    <row r="5" spans="1:11" ht="43.5" x14ac:dyDescent="0.35">
      <c r="A5" s="28" t="s">
        <v>21</v>
      </c>
      <c r="B5" s="28">
        <v>2</v>
      </c>
      <c r="C5" s="29" t="s">
        <v>10</v>
      </c>
      <c r="D5" s="30" t="s">
        <v>11</v>
      </c>
      <c r="E5" s="31" t="s">
        <v>12</v>
      </c>
      <c r="F5" s="31" t="s">
        <v>203</v>
      </c>
      <c r="G5" s="31" t="s">
        <v>204</v>
      </c>
      <c r="H5" s="31" t="s">
        <v>22</v>
      </c>
      <c r="I5" s="28" t="s">
        <v>14</v>
      </c>
      <c r="J5" s="32" t="s">
        <v>205</v>
      </c>
      <c r="K5" s="32" t="s">
        <v>303</v>
      </c>
    </row>
    <row r="6" spans="1:11" ht="43.5" x14ac:dyDescent="0.35">
      <c r="A6" s="28" t="s">
        <v>23</v>
      </c>
      <c r="B6" s="28">
        <v>3</v>
      </c>
      <c r="C6" s="33" t="s">
        <v>24</v>
      </c>
      <c r="D6" s="30" t="s">
        <v>11</v>
      </c>
      <c r="E6" s="31" t="s">
        <v>12</v>
      </c>
      <c r="F6" s="31" t="s">
        <v>25</v>
      </c>
      <c r="G6" s="31" t="s">
        <v>26</v>
      </c>
      <c r="H6" s="31" t="s">
        <v>21</v>
      </c>
      <c r="I6" s="28" t="s">
        <v>14</v>
      </c>
      <c r="J6" s="32" t="s">
        <v>304</v>
      </c>
      <c r="K6" s="32" t="s">
        <v>303</v>
      </c>
    </row>
    <row r="7" spans="1:11" ht="43.5" x14ac:dyDescent="0.35">
      <c r="A7" s="28" t="s">
        <v>27</v>
      </c>
      <c r="B7" s="28">
        <v>4</v>
      </c>
      <c r="C7" s="33" t="s">
        <v>24</v>
      </c>
      <c r="D7" s="30" t="s">
        <v>11</v>
      </c>
      <c r="E7" s="31" t="s">
        <v>12</v>
      </c>
      <c r="F7" s="31" t="s">
        <v>28</v>
      </c>
      <c r="G7" s="31" t="s">
        <v>29</v>
      </c>
      <c r="H7" s="31" t="s">
        <v>23</v>
      </c>
      <c r="I7" s="28" t="s">
        <v>14</v>
      </c>
      <c r="J7" s="32" t="s">
        <v>304</v>
      </c>
      <c r="K7" s="32" t="s">
        <v>303</v>
      </c>
    </row>
    <row r="8" spans="1:11" ht="43.5" x14ac:dyDescent="0.35">
      <c r="A8" s="28" t="s">
        <v>30</v>
      </c>
      <c r="B8" s="28">
        <v>5</v>
      </c>
      <c r="C8" s="33" t="s">
        <v>24</v>
      </c>
      <c r="D8" s="30" t="s">
        <v>11</v>
      </c>
      <c r="E8" s="31" t="s">
        <v>12</v>
      </c>
      <c r="F8" s="31" t="s">
        <v>31</v>
      </c>
      <c r="G8" s="31" t="s">
        <v>32</v>
      </c>
      <c r="H8" s="31" t="s">
        <v>27</v>
      </c>
      <c r="I8" s="28" t="s">
        <v>14</v>
      </c>
      <c r="J8" s="32" t="s">
        <v>304</v>
      </c>
      <c r="K8" s="32" t="s">
        <v>303</v>
      </c>
    </row>
    <row r="9" spans="1:11" ht="43.5" x14ac:dyDescent="0.35">
      <c r="A9" s="28" t="s">
        <v>33</v>
      </c>
      <c r="B9" s="28">
        <v>6</v>
      </c>
      <c r="C9" s="34" t="s">
        <v>34</v>
      </c>
      <c r="D9" s="30" t="s">
        <v>11</v>
      </c>
      <c r="E9" s="31" t="s">
        <v>12</v>
      </c>
      <c r="F9" s="31" t="s">
        <v>35</v>
      </c>
      <c r="G9" s="31" t="s">
        <v>36</v>
      </c>
      <c r="H9" s="31" t="s">
        <v>30</v>
      </c>
      <c r="I9" s="28" t="s">
        <v>14</v>
      </c>
      <c r="J9" s="32" t="s">
        <v>304</v>
      </c>
      <c r="K9" s="32" t="s">
        <v>303</v>
      </c>
    </row>
    <row r="10" spans="1:11" ht="43.5" x14ac:dyDescent="0.35">
      <c r="A10" s="28" t="s">
        <v>37</v>
      </c>
      <c r="B10" s="28">
        <v>7</v>
      </c>
      <c r="C10" s="34" t="s">
        <v>34</v>
      </c>
      <c r="D10" s="30" t="s">
        <v>11</v>
      </c>
      <c r="E10" s="31" t="s">
        <v>12</v>
      </c>
      <c r="F10" s="31" t="s">
        <v>206</v>
      </c>
      <c r="G10" s="31" t="s">
        <v>207</v>
      </c>
      <c r="H10" s="31" t="s">
        <v>33</v>
      </c>
      <c r="I10" s="28" t="s">
        <v>14</v>
      </c>
      <c r="J10" s="32" t="s">
        <v>208</v>
      </c>
      <c r="K10" s="32" t="s">
        <v>303</v>
      </c>
    </row>
    <row r="11" spans="1:11" ht="43.5" x14ac:dyDescent="0.35">
      <c r="A11" s="28" t="s">
        <v>38</v>
      </c>
      <c r="B11" s="28">
        <v>8</v>
      </c>
      <c r="C11" s="34" t="s">
        <v>34</v>
      </c>
      <c r="D11" s="30" t="s">
        <v>11</v>
      </c>
      <c r="E11" s="31" t="s">
        <v>12</v>
      </c>
      <c r="F11" s="31" t="s">
        <v>39</v>
      </c>
      <c r="G11" s="31" t="s">
        <v>40</v>
      </c>
      <c r="H11" s="31" t="s">
        <v>41</v>
      </c>
      <c r="I11" s="28" t="s">
        <v>14</v>
      </c>
      <c r="J11" s="32" t="s">
        <v>304</v>
      </c>
      <c r="K11" s="32" t="s">
        <v>303</v>
      </c>
    </row>
    <row r="12" spans="1:11" ht="43.5" x14ac:dyDescent="0.35">
      <c r="A12" s="28" t="s">
        <v>42</v>
      </c>
      <c r="B12" s="28">
        <v>9</v>
      </c>
      <c r="C12" s="35" t="s">
        <v>43</v>
      </c>
      <c r="D12" s="30" t="s">
        <v>11</v>
      </c>
      <c r="E12" s="31" t="s">
        <v>12</v>
      </c>
      <c r="F12" s="31" t="s">
        <v>209</v>
      </c>
      <c r="G12" s="31" t="s">
        <v>210</v>
      </c>
      <c r="H12" s="31" t="s">
        <v>44</v>
      </c>
      <c r="I12" s="28" t="s">
        <v>14</v>
      </c>
      <c r="J12" s="32" t="s">
        <v>211</v>
      </c>
      <c r="K12" s="32" t="s">
        <v>303</v>
      </c>
    </row>
    <row r="13" spans="1:11" ht="43.5" x14ac:dyDescent="0.35">
      <c r="A13" s="28" t="s">
        <v>45</v>
      </c>
      <c r="B13" s="28">
        <v>10</v>
      </c>
      <c r="C13" s="35" t="s">
        <v>43</v>
      </c>
      <c r="D13" s="30" t="s">
        <v>11</v>
      </c>
      <c r="E13" s="31" t="s">
        <v>12</v>
      </c>
      <c r="F13" s="31" t="s">
        <v>212</v>
      </c>
      <c r="G13" s="31" t="s">
        <v>213</v>
      </c>
      <c r="H13" s="31" t="s">
        <v>46</v>
      </c>
      <c r="I13" s="28" t="s">
        <v>14</v>
      </c>
      <c r="J13" s="32" t="s">
        <v>214</v>
      </c>
      <c r="K13" s="32" t="s">
        <v>303</v>
      </c>
    </row>
    <row r="14" spans="1:11" ht="43.5" x14ac:dyDescent="0.35">
      <c r="A14" s="28" t="s">
        <v>47</v>
      </c>
      <c r="B14" s="28">
        <v>11</v>
      </c>
      <c r="C14" s="36" t="s">
        <v>48</v>
      </c>
      <c r="D14" s="30" t="s">
        <v>11</v>
      </c>
      <c r="E14" s="31" t="s">
        <v>12</v>
      </c>
      <c r="F14" s="31" t="s">
        <v>49</v>
      </c>
      <c r="G14" s="31" t="s">
        <v>50</v>
      </c>
      <c r="H14" s="31" t="s">
        <v>45</v>
      </c>
      <c r="I14" s="28" t="s">
        <v>14</v>
      </c>
      <c r="J14" s="32" t="s">
        <v>304</v>
      </c>
      <c r="K14" s="32" t="s">
        <v>303</v>
      </c>
    </row>
    <row r="15" spans="1:11" ht="43.5" x14ac:dyDescent="0.35">
      <c r="A15" s="28" t="s">
        <v>51</v>
      </c>
      <c r="B15" s="28">
        <v>12</v>
      </c>
      <c r="C15" s="36" t="s">
        <v>48</v>
      </c>
      <c r="D15" s="30" t="s">
        <v>11</v>
      </c>
      <c r="E15" s="31" t="s">
        <v>12</v>
      </c>
      <c r="F15" s="31" t="s">
        <v>215</v>
      </c>
      <c r="G15" s="31" t="s">
        <v>216</v>
      </c>
      <c r="H15" s="31" t="s">
        <v>47</v>
      </c>
      <c r="I15" s="28" t="s">
        <v>14</v>
      </c>
      <c r="J15" s="32" t="s">
        <v>217</v>
      </c>
      <c r="K15" s="32" t="s">
        <v>303</v>
      </c>
    </row>
    <row r="16" spans="1:11" ht="43.5" x14ac:dyDescent="0.35">
      <c r="A16" s="28" t="s">
        <v>52</v>
      </c>
      <c r="B16" s="28">
        <v>1</v>
      </c>
      <c r="C16" s="29" t="s">
        <v>10</v>
      </c>
      <c r="D16" s="37" t="s">
        <v>53</v>
      </c>
      <c r="E16" s="31" t="s">
        <v>54</v>
      </c>
      <c r="F16" s="31" t="s">
        <v>55</v>
      </c>
      <c r="G16" s="31" t="s">
        <v>56</v>
      </c>
      <c r="H16" s="31" t="s">
        <v>13</v>
      </c>
      <c r="I16" s="28" t="s">
        <v>14</v>
      </c>
      <c r="J16" s="32" t="s">
        <v>304</v>
      </c>
      <c r="K16" s="32" t="s">
        <v>305</v>
      </c>
    </row>
    <row r="17" spans="1:11" ht="43.5" x14ac:dyDescent="0.35">
      <c r="A17" s="28" t="s">
        <v>57</v>
      </c>
      <c r="B17" s="28">
        <v>2</v>
      </c>
      <c r="C17" s="29" t="s">
        <v>10</v>
      </c>
      <c r="D17" s="37" t="s">
        <v>53</v>
      </c>
      <c r="E17" s="31" t="s">
        <v>54</v>
      </c>
      <c r="F17" s="31" t="s">
        <v>58</v>
      </c>
      <c r="G17" s="31" t="s">
        <v>59</v>
      </c>
      <c r="H17" s="31" t="s">
        <v>52</v>
      </c>
      <c r="I17" s="28" t="s">
        <v>14</v>
      </c>
      <c r="J17" s="32" t="s">
        <v>304</v>
      </c>
      <c r="K17" s="32" t="s">
        <v>305</v>
      </c>
    </row>
    <row r="18" spans="1:11" ht="43.5" x14ac:dyDescent="0.35">
      <c r="A18" s="28" t="s">
        <v>60</v>
      </c>
      <c r="B18" s="28">
        <v>3</v>
      </c>
      <c r="C18" s="33" t="s">
        <v>24</v>
      </c>
      <c r="D18" s="37" t="s">
        <v>53</v>
      </c>
      <c r="E18" s="31" t="s">
        <v>54</v>
      </c>
      <c r="F18" s="31" t="s">
        <v>61</v>
      </c>
      <c r="G18" s="31" t="s">
        <v>62</v>
      </c>
      <c r="H18" s="31" t="s">
        <v>63</v>
      </c>
      <c r="I18" s="28" t="s">
        <v>14</v>
      </c>
      <c r="J18" s="32" t="s">
        <v>304</v>
      </c>
      <c r="K18" s="32" t="s">
        <v>305</v>
      </c>
    </row>
    <row r="19" spans="1:11" ht="43.5" x14ac:dyDescent="0.35">
      <c r="A19" s="28" t="s">
        <v>64</v>
      </c>
      <c r="B19" s="28">
        <v>4</v>
      </c>
      <c r="C19" s="33" t="s">
        <v>24</v>
      </c>
      <c r="D19" s="37" t="s">
        <v>53</v>
      </c>
      <c r="E19" s="31" t="s">
        <v>54</v>
      </c>
      <c r="F19" s="31" t="s">
        <v>65</v>
      </c>
      <c r="G19" s="31" t="s">
        <v>66</v>
      </c>
      <c r="H19" s="31" t="s">
        <v>60</v>
      </c>
      <c r="I19" s="28" t="s">
        <v>14</v>
      </c>
      <c r="J19" s="32" t="s">
        <v>304</v>
      </c>
      <c r="K19" s="32" t="s">
        <v>305</v>
      </c>
    </row>
    <row r="20" spans="1:11" ht="43.5" x14ac:dyDescent="0.35">
      <c r="A20" s="28" t="s">
        <v>67</v>
      </c>
      <c r="B20" s="28">
        <v>5</v>
      </c>
      <c r="C20" s="33" t="s">
        <v>24</v>
      </c>
      <c r="D20" s="37" t="s">
        <v>53</v>
      </c>
      <c r="E20" s="31" t="s">
        <v>54</v>
      </c>
      <c r="F20" s="31" t="s">
        <v>68</v>
      </c>
      <c r="G20" s="31" t="s">
        <v>69</v>
      </c>
      <c r="H20" s="31" t="s">
        <v>70</v>
      </c>
      <c r="I20" s="28" t="s">
        <v>14</v>
      </c>
      <c r="J20" s="32" t="s">
        <v>304</v>
      </c>
      <c r="K20" s="32" t="s">
        <v>305</v>
      </c>
    </row>
    <row r="21" spans="1:11" ht="43.5" x14ac:dyDescent="0.35">
      <c r="A21" s="28" t="s">
        <v>71</v>
      </c>
      <c r="B21" s="28">
        <v>6</v>
      </c>
      <c r="C21" s="34" t="s">
        <v>34</v>
      </c>
      <c r="D21" s="37" t="s">
        <v>53</v>
      </c>
      <c r="E21" s="31" t="s">
        <v>54</v>
      </c>
      <c r="F21" s="31" t="s">
        <v>72</v>
      </c>
      <c r="G21" s="31" t="s">
        <v>73</v>
      </c>
      <c r="H21" s="31" t="s">
        <v>67</v>
      </c>
      <c r="I21" s="28" t="s">
        <v>14</v>
      </c>
      <c r="J21" s="32" t="s">
        <v>304</v>
      </c>
      <c r="K21" s="32" t="s">
        <v>305</v>
      </c>
    </row>
    <row r="22" spans="1:11" ht="43.5" x14ac:dyDescent="0.35">
      <c r="A22" s="28" t="s">
        <v>74</v>
      </c>
      <c r="B22" s="28">
        <v>7</v>
      </c>
      <c r="C22" s="34" t="s">
        <v>34</v>
      </c>
      <c r="D22" s="37" t="s">
        <v>53</v>
      </c>
      <c r="E22" s="31" t="s">
        <v>54</v>
      </c>
      <c r="F22" s="31" t="s">
        <v>75</v>
      </c>
      <c r="G22" s="31" t="s">
        <v>76</v>
      </c>
      <c r="H22" s="31" t="s">
        <v>71</v>
      </c>
      <c r="I22" s="28" t="s">
        <v>14</v>
      </c>
      <c r="J22" s="32" t="s">
        <v>304</v>
      </c>
      <c r="K22" s="32" t="s">
        <v>305</v>
      </c>
    </row>
    <row r="23" spans="1:11" ht="43.5" x14ac:dyDescent="0.35">
      <c r="A23" s="28" t="s">
        <v>77</v>
      </c>
      <c r="B23" s="28">
        <v>8</v>
      </c>
      <c r="C23" s="34" t="s">
        <v>34</v>
      </c>
      <c r="D23" s="37" t="s">
        <v>53</v>
      </c>
      <c r="E23" s="31" t="s">
        <v>54</v>
      </c>
      <c r="F23" s="31" t="s">
        <v>78</v>
      </c>
      <c r="G23" s="31" t="s">
        <v>79</v>
      </c>
      <c r="H23" s="31" t="s">
        <v>80</v>
      </c>
      <c r="I23" s="28" t="s">
        <v>14</v>
      </c>
      <c r="J23" s="32" t="s">
        <v>304</v>
      </c>
      <c r="K23" s="32" t="s">
        <v>305</v>
      </c>
    </row>
    <row r="24" spans="1:11" ht="29" x14ac:dyDescent="0.35">
      <c r="A24" s="28" t="s">
        <v>81</v>
      </c>
      <c r="B24" s="28">
        <v>9</v>
      </c>
      <c r="C24" s="35" t="s">
        <v>43</v>
      </c>
      <c r="D24" s="37" t="s">
        <v>53</v>
      </c>
      <c r="E24" s="31" t="s">
        <v>54</v>
      </c>
      <c r="F24" s="31" t="s">
        <v>218</v>
      </c>
      <c r="G24" s="31" t="s">
        <v>219</v>
      </c>
      <c r="H24" s="31" t="s">
        <v>77</v>
      </c>
      <c r="I24" s="28" t="s">
        <v>14</v>
      </c>
      <c r="J24" s="32" t="s">
        <v>220</v>
      </c>
      <c r="K24" s="32" t="s">
        <v>305</v>
      </c>
    </row>
    <row r="25" spans="1:11" ht="29" x14ac:dyDescent="0.35">
      <c r="A25" s="28" t="s">
        <v>82</v>
      </c>
      <c r="B25" s="28">
        <v>9</v>
      </c>
      <c r="C25" s="35" t="s">
        <v>43</v>
      </c>
      <c r="D25" s="37" t="s">
        <v>53</v>
      </c>
      <c r="E25" s="31" t="s">
        <v>54</v>
      </c>
      <c r="F25" s="31" t="s">
        <v>221</v>
      </c>
      <c r="G25" s="31" t="s">
        <v>222</v>
      </c>
      <c r="H25" s="31" t="s">
        <v>77</v>
      </c>
      <c r="I25" s="28" t="s">
        <v>14</v>
      </c>
      <c r="J25" s="32" t="s">
        <v>223</v>
      </c>
      <c r="K25" s="32" t="s">
        <v>305</v>
      </c>
    </row>
    <row r="26" spans="1:11" ht="29" x14ac:dyDescent="0.35">
      <c r="A26" s="28" t="s">
        <v>83</v>
      </c>
      <c r="B26" s="28">
        <v>10</v>
      </c>
      <c r="C26" s="35" t="s">
        <v>43</v>
      </c>
      <c r="D26" s="37" t="s">
        <v>53</v>
      </c>
      <c r="E26" s="31" t="s">
        <v>54</v>
      </c>
      <c r="F26" s="31" t="s">
        <v>224</v>
      </c>
      <c r="G26" s="31" t="s">
        <v>225</v>
      </c>
      <c r="H26" s="31" t="s">
        <v>84</v>
      </c>
      <c r="I26" s="28" t="s">
        <v>14</v>
      </c>
      <c r="J26" s="32" t="s">
        <v>226</v>
      </c>
      <c r="K26" s="32" t="s">
        <v>305</v>
      </c>
    </row>
    <row r="27" spans="1:11" ht="29" x14ac:dyDescent="0.35">
      <c r="A27" s="28" t="s">
        <v>85</v>
      </c>
      <c r="B27" s="28">
        <v>11</v>
      </c>
      <c r="C27" s="36" t="s">
        <v>48</v>
      </c>
      <c r="D27" s="37" t="s">
        <v>53</v>
      </c>
      <c r="E27" s="31" t="s">
        <v>54</v>
      </c>
      <c r="F27" s="31" t="s">
        <v>227</v>
      </c>
      <c r="G27" s="31" t="s">
        <v>228</v>
      </c>
      <c r="H27" s="31" t="s">
        <v>86</v>
      </c>
      <c r="I27" s="28" t="s">
        <v>14</v>
      </c>
      <c r="J27" s="32" t="s">
        <v>229</v>
      </c>
      <c r="K27" s="32" t="s">
        <v>305</v>
      </c>
    </row>
    <row r="28" spans="1:11" ht="43.5" x14ac:dyDescent="0.35">
      <c r="A28" s="28" t="s">
        <v>87</v>
      </c>
      <c r="B28" s="28">
        <v>12</v>
      </c>
      <c r="C28" s="36" t="s">
        <v>48</v>
      </c>
      <c r="D28" s="37" t="s">
        <v>53</v>
      </c>
      <c r="E28" s="31" t="s">
        <v>54</v>
      </c>
      <c r="F28" s="31" t="s">
        <v>88</v>
      </c>
      <c r="G28" s="31" t="s">
        <v>89</v>
      </c>
      <c r="H28" s="31" t="s">
        <v>85</v>
      </c>
      <c r="I28" s="28" t="s">
        <v>14</v>
      </c>
      <c r="J28" s="32" t="s">
        <v>304</v>
      </c>
      <c r="K28" s="32" t="s">
        <v>305</v>
      </c>
    </row>
    <row r="29" spans="1:11" ht="43.5" x14ac:dyDescent="0.35">
      <c r="A29" s="28" t="s">
        <v>90</v>
      </c>
      <c r="B29" s="28">
        <v>1</v>
      </c>
      <c r="C29" s="29" t="s">
        <v>10</v>
      </c>
      <c r="D29" s="38" t="s">
        <v>91</v>
      </c>
      <c r="E29" s="31" t="s">
        <v>92</v>
      </c>
      <c r="F29" s="31" t="s">
        <v>230</v>
      </c>
      <c r="G29" s="31" t="s">
        <v>231</v>
      </c>
      <c r="H29" s="31" t="s">
        <v>13</v>
      </c>
      <c r="I29" s="28" t="s">
        <v>14</v>
      </c>
      <c r="J29" s="32" t="s">
        <v>232</v>
      </c>
      <c r="K29" s="32" t="s">
        <v>306</v>
      </c>
    </row>
    <row r="30" spans="1:11" ht="43.5" x14ac:dyDescent="0.35">
      <c r="A30" s="28" t="s">
        <v>93</v>
      </c>
      <c r="B30" s="28">
        <v>2</v>
      </c>
      <c r="C30" s="29" t="s">
        <v>10</v>
      </c>
      <c r="D30" s="38" t="s">
        <v>91</v>
      </c>
      <c r="E30" s="31" t="s">
        <v>92</v>
      </c>
      <c r="F30" s="31" t="s">
        <v>94</v>
      </c>
      <c r="G30" s="31" t="s">
        <v>95</v>
      </c>
      <c r="H30" s="31" t="s">
        <v>90</v>
      </c>
      <c r="I30" s="28" t="s">
        <v>14</v>
      </c>
      <c r="J30" s="32" t="s">
        <v>304</v>
      </c>
      <c r="K30" s="32" t="s">
        <v>306</v>
      </c>
    </row>
    <row r="31" spans="1:11" ht="43.5" x14ac:dyDescent="0.35">
      <c r="A31" s="28" t="s">
        <v>22</v>
      </c>
      <c r="B31" s="28">
        <v>2</v>
      </c>
      <c r="C31" s="29" t="s">
        <v>10</v>
      </c>
      <c r="D31" s="38" t="s">
        <v>91</v>
      </c>
      <c r="E31" s="31" t="s">
        <v>92</v>
      </c>
      <c r="F31" s="31" t="s">
        <v>233</v>
      </c>
      <c r="G31" s="31" t="s">
        <v>234</v>
      </c>
      <c r="H31" s="31" t="s">
        <v>93</v>
      </c>
      <c r="I31" s="28" t="s">
        <v>14</v>
      </c>
      <c r="J31" s="32" t="s">
        <v>235</v>
      </c>
      <c r="K31" s="32" t="s">
        <v>306</v>
      </c>
    </row>
    <row r="32" spans="1:11" ht="43.5" x14ac:dyDescent="0.35">
      <c r="A32" s="28" t="s">
        <v>96</v>
      </c>
      <c r="B32" s="28">
        <v>3</v>
      </c>
      <c r="C32" s="33" t="s">
        <v>24</v>
      </c>
      <c r="D32" s="38" t="s">
        <v>91</v>
      </c>
      <c r="E32" s="31" t="s">
        <v>92</v>
      </c>
      <c r="F32" s="31" t="s">
        <v>236</v>
      </c>
      <c r="G32" s="31" t="s">
        <v>237</v>
      </c>
      <c r="H32" s="31" t="s">
        <v>22</v>
      </c>
      <c r="I32" s="28" t="s">
        <v>14</v>
      </c>
      <c r="J32" s="32" t="s">
        <v>238</v>
      </c>
      <c r="K32" s="32" t="s">
        <v>306</v>
      </c>
    </row>
    <row r="33" spans="1:11" ht="43.5" x14ac:dyDescent="0.35">
      <c r="A33" s="28" t="s">
        <v>97</v>
      </c>
      <c r="B33" s="28">
        <v>4</v>
      </c>
      <c r="C33" s="33" t="s">
        <v>24</v>
      </c>
      <c r="D33" s="38" t="s">
        <v>91</v>
      </c>
      <c r="E33" s="31" t="s">
        <v>92</v>
      </c>
      <c r="F33" s="31" t="s">
        <v>98</v>
      </c>
      <c r="G33" s="31" t="s">
        <v>99</v>
      </c>
      <c r="H33" s="31" t="s">
        <v>96</v>
      </c>
      <c r="I33" s="28" t="s">
        <v>14</v>
      </c>
      <c r="J33" s="32" t="s">
        <v>304</v>
      </c>
      <c r="K33" s="32" t="s">
        <v>306</v>
      </c>
    </row>
    <row r="34" spans="1:11" ht="43.5" x14ac:dyDescent="0.35">
      <c r="A34" s="28" t="s">
        <v>100</v>
      </c>
      <c r="B34" s="28">
        <v>5</v>
      </c>
      <c r="C34" s="33" t="s">
        <v>24</v>
      </c>
      <c r="D34" s="38" t="s">
        <v>91</v>
      </c>
      <c r="E34" s="31" t="s">
        <v>92</v>
      </c>
      <c r="F34" s="31" t="s">
        <v>239</v>
      </c>
      <c r="G34" s="31" t="s">
        <v>240</v>
      </c>
      <c r="H34" s="31" t="s">
        <v>101</v>
      </c>
      <c r="I34" s="28" t="s">
        <v>14</v>
      </c>
      <c r="J34" s="32" t="s">
        <v>241</v>
      </c>
      <c r="K34" s="32" t="s">
        <v>306</v>
      </c>
    </row>
    <row r="35" spans="1:11" ht="43.5" x14ac:dyDescent="0.35">
      <c r="A35" s="28" t="s">
        <v>102</v>
      </c>
      <c r="B35" s="28">
        <v>6</v>
      </c>
      <c r="C35" s="34" t="s">
        <v>34</v>
      </c>
      <c r="D35" s="38" t="s">
        <v>91</v>
      </c>
      <c r="E35" s="31" t="s">
        <v>92</v>
      </c>
      <c r="F35" s="31" t="s">
        <v>242</v>
      </c>
      <c r="G35" s="31" t="s">
        <v>243</v>
      </c>
      <c r="H35" s="31" t="s">
        <v>103</v>
      </c>
      <c r="I35" s="28" t="s">
        <v>14</v>
      </c>
      <c r="J35" s="32" t="s">
        <v>244</v>
      </c>
      <c r="K35" s="32" t="s">
        <v>306</v>
      </c>
    </row>
    <row r="36" spans="1:11" ht="43.5" x14ac:dyDescent="0.35">
      <c r="A36" s="28" t="s">
        <v>104</v>
      </c>
      <c r="B36" s="28">
        <v>7</v>
      </c>
      <c r="C36" s="34" t="s">
        <v>34</v>
      </c>
      <c r="D36" s="38" t="s">
        <v>91</v>
      </c>
      <c r="E36" s="31" t="s">
        <v>92</v>
      </c>
      <c r="F36" s="31" t="s">
        <v>105</v>
      </c>
      <c r="G36" s="31" t="s">
        <v>106</v>
      </c>
      <c r="H36" s="31" t="s">
        <v>102</v>
      </c>
      <c r="I36" s="28" t="s">
        <v>14</v>
      </c>
      <c r="J36" s="32" t="s">
        <v>304</v>
      </c>
      <c r="K36" s="32" t="s">
        <v>306</v>
      </c>
    </row>
    <row r="37" spans="1:11" ht="43.5" x14ac:dyDescent="0.35">
      <c r="A37" s="28" t="s">
        <v>107</v>
      </c>
      <c r="B37" s="28">
        <v>8</v>
      </c>
      <c r="C37" s="34" t="s">
        <v>34</v>
      </c>
      <c r="D37" s="38" t="s">
        <v>91</v>
      </c>
      <c r="E37" s="31" t="s">
        <v>92</v>
      </c>
      <c r="F37" s="31" t="s">
        <v>108</v>
      </c>
      <c r="G37" s="31" t="s">
        <v>109</v>
      </c>
      <c r="H37" s="31" t="s">
        <v>110</v>
      </c>
      <c r="I37" s="28" t="s">
        <v>14</v>
      </c>
      <c r="J37" s="32" t="s">
        <v>304</v>
      </c>
      <c r="K37" s="32" t="s">
        <v>306</v>
      </c>
    </row>
    <row r="38" spans="1:11" ht="43.5" x14ac:dyDescent="0.35">
      <c r="A38" s="28" t="s">
        <v>111</v>
      </c>
      <c r="B38" s="28">
        <v>9</v>
      </c>
      <c r="C38" s="35" t="s">
        <v>43</v>
      </c>
      <c r="D38" s="38" t="s">
        <v>91</v>
      </c>
      <c r="E38" s="31" t="s">
        <v>92</v>
      </c>
      <c r="F38" s="31" t="s">
        <v>245</v>
      </c>
      <c r="G38" s="31" t="s">
        <v>246</v>
      </c>
      <c r="H38" s="31" t="s">
        <v>107</v>
      </c>
      <c r="I38" s="28" t="s">
        <v>14</v>
      </c>
      <c r="J38" s="32" t="s">
        <v>247</v>
      </c>
      <c r="K38" s="32" t="s">
        <v>306</v>
      </c>
    </row>
    <row r="39" spans="1:11" ht="43.5" x14ac:dyDescent="0.35">
      <c r="A39" s="28" t="s">
        <v>112</v>
      </c>
      <c r="B39" s="28">
        <v>10</v>
      </c>
      <c r="C39" s="35" t="s">
        <v>43</v>
      </c>
      <c r="D39" s="38" t="s">
        <v>91</v>
      </c>
      <c r="E39" s="31" t="s">
        <v>92</v>
      </c>
      <c r="F39" s="31" t="s">
        <v>113</v>
      </c>
      <c r="G39" s="31" t="s">
        <v>114</v>
      </c>
      <c r="H39" s="31" t="s">
        <v>111</v>
      </c>
      <c r="I39" s="28" t="s">
        <v>14</v>
      </c>
      <c r="J39" s="32" t="s">
        <v>304</v>
      </c>
      <c r="K39" s="32" t="s">
        <v>306</v>
      </c>
    </row>
    <row r="40" spans="1:11" ht="43.5" x14ac:dyDescent="0.35">
      <c r="A40" s="28" t="s">
        <v>115</v>
      </c>
      <c r="B40" s="28">
        <v>11</v>
      </c>
      <c r="C40" s="36" t="s">
        <v>48</v>
      </c>
      <c r="D40" s="38" t="s">
        <v>91</v>
      </c>
      <c r="E40" s="31" t="s">
        <v>92</v>
      </c>
      <c r="F40" s="31" t="s">
        <v>248</v>
      </c>
      <c r="G40" s="31" t="s">
        <v>249</v>
      </c>
      <c r="H40" s="31" t="s">
        <v>112</v>
      </c>
      <c r="I40" s="28" t="s">
        <v>14</v>
      </c>
      <c r="J40" s="32" t="s">
        <v>250</v>
      </c>
      <c r="K40" s="32" t="s">
        <v>306</v>
      </c>
    </row>
    <row r="41" spans="1:11" ht="43.5" x14ac:dyDescent="0.35">
      <c r="A41" s="28" t="s">
        <v>116</v>
      </c>
      <c r="B41" s="28">
        <v>12</v>
      </c>
      <c r="C41" s="36" t="s">
        <v>48</v>
      </c>
      <c r="D41" s="38" t="s">
        <v>91</v>
      </c>
      <c r="E41" s="31" t="s">
        <v>92</v>
      </c>
      <c r="F41" s="31" t="s">
        <v>251</v>
      </c>
      <c r="G41" s="31" t="s">
        <v>252</v>
      </c>
      <c r="H41" s="31" t="s">
        <v>115</v>
      </c>
      <c r="I41" s="28" t="s">
        <v>14</v>
      </c>
      <c r="J41" s="32" t="s">
        <v>253</v>
      </c>
      <c r="K41" s="32" t="s">
        <v>306</v>
      </c>
    </row>
    <row r="42" spans="1:11" ht="29" x14ac:dyDescent="0.35">
      <c r="A42" s="28" t="s">
        <v>117</v>
      </c>
      <c r="B42" s="28">
        <v>1</v>
      </c>
      <c r="C42" s="29" t="s">
        <v>10</v>
      </c>
      <c r="D42" s="39" t="s">
        <v>118</v>
      </c>
      <c r="E42" s="31" t="s">
        <v>254</v>
      </c>
      <c r="F42" s="31" t="s">
        <v>255</v>
      </c>
      <c r="G42" s="31" t="s">
        <v>256</v>
      </c>
      <c r="H42" s="31" t="s">
        <v>13</v>
      </c>
      <c r="I42" s="28" t="s">
        <v>194</v>
      </c>
      <c r="J42" s="32" t="s">
        <v>257</v>
      </c>
      <c r="K42" s="32" t="s">
        <v>307</v>
      </c>
    </row>
    <row r="43" spans="1:11" ht="43.5" x14ac:dyDescent="0.35">
      <c r="A43" s="28" t="s">
        <v>119</v>
      </c>
      <c r="B43" s="28">
        <v>1</v>
      </c>
      <c r="C43" s="29" t="s">
        <v>10</v>
      </c>
      <c r="D43" s="39" t="s">
        <v>118</v>
      </c>
      <c r="E43" s="31" t="s">
        <v>254</v>
      </c>
      <c r="F43" s="31" t="s">
        <v>258</v>
      </c>
      <c r="G43" s="31" t="s">
        <v>259</v>
      </c>
      <c r="H43" s="31" t="s">
        <v>117</v>
      </c>
      <c r="I43" s="28" t="s">
        <v>14</v>
      </c>
      <c r="J43" s="32" t="s">
        <v>260</v>
      </c>
      <c r="K43" s="32" t="s">
        <v>307</v>
      </c>
    </row>
    <row r="44" spans="1:11" ht="43.5" x14ac:dyDescent="0.35">
      <c r="A44" s="28" t="s">
        <v>120</v>
      </c>
      <c r="B44" s="28">
        <v>2</v>
      </c>
      <c r="C44" s="29" t="s">
        <v>10</v>
      </c>
      <c r="D44" s="39" t="s">
        <v>118</v>
      </c>
      <c r="E44" s="31" t="s">
        <v>254</v>
      </c>
      <c r="F44" s="31" t="s">
        <v>261</v>
      </c>
      <c r="G44" s="31" t="s">
        <v>262</v>
      </c>
      <c r="H44" s="31" t="s">
        <v>263</v>
      </c>
      <c r="I44" s="28" t="s">
        <v>193</v>
      </c>
      <c r="J44" s="32" t="s">
        <v>264</v>
      </c>
      <c r="K44" s="32" t="s">
        <v>307</v>
      </c>
    </row>
    <row r="45" spans="1:11" ht="29" x14ac:dyDescent="0.35">
      <c r="A45" s="28" t="s">
        <v>121</v>
      </c>
      <c r="B45" s="28">
        <v>3</v>
      </c>
      <c r="C45" s="33" t="s">
        <v>24</v>
      </c>
      <c r="D45" s="39" t="s">
        <v>118</v>
      </c>
      <c r="E45" s="31" t="s">
        <v>254</v>
      </c>
      <c r="F45" s="31" t="s">
        <v>265</v>
      </c>
      <c r="G45" s="31" t="s">
        <v>266</v>
      </c>
      <c r="H45" s="31" t="s">
        <v>267</v>
      </c>
      <c r="I45" s="28" t="s">
        <v>193</v>
      </c>
      <c r="J45" s="32" t="s">
        <v>268</v>
      </c>
      <c r="K45" s="32" t="s">
        <v>307</v>
      </c>
    </row>
    <row r="46" spans="1:11" ht="29" x14ac:dyDescent="0.35">
      <c r="A46" s="28" t="s">
        <v>122</v>
      </c>
      <c r="B46" s="28">
        <v>4</v>
      </c>
      <c r="C46" s="33" t="s">
        <v>24</v>
      </c>
      <c r="D46" s="39" t="s">
        <v>118</v>
      </c>
      <c r="E46" s="31" t="s">
        <v>254</v>
      </c>
      <c r="F46" s="31" t="s">
        <v>269</v>
      </c>
      <c r="G46" s="31" t="s">
        <v>270</v>
      </c>
      <c r="H46" s="31" t="s">
        <v>271</v>
      </c>
      <c r="I46" s="28" t="s">
        <v>193</v>
      </c>
      <c r="J46" s="32" t="s">
        <v>272</v>
      </c>
      <c r="K46" s="32" t="s">
        <v>307</v>
      </c>
    </row>
    <row r="47" spans="1:11" ht="29" x14ac:dyDescent="0.35">
      <c r="A47" s="28" t="s">
        <v>123</v>
      </c>
      <c r="B47" s="28">
        <v>5</v>
      </c>
      <c r="C47" s="33" t="s">
        <v>24</v>
      </c>
      <c r="D47" s="39" t="s">
        <v>118</v>
      </c>
      <c r="E47" s="31" t="s">
        <v>254</v>
      </c>
      <c r="F47" s="31" t="s">
        <v>273</v>
      </c>
      <c r="G47" s="31" t="s">
        <v>274</v>
      </c>
      <c r="H47" s="31" t="s">
        <v>275</v>
      </c>
      <c r="I47" s="28" t="s">
        <v>193</v>
      </c>
      <c r="J47" s="32" t="s">
        <v>276</v>
      </c>
      <c r="K47" s="32" t="s">
        <v>307</v>
      </c>
    </row>
    <row r="48" spans="1:11" ht="29" x14ac:dyDescent="0.35">
      <c r="A48" s="28" t="s">
        <v>124</v>
      </c>
      <c r="B48" s="28">
        <v>6</v>
      </c>
      <c r="C48" s="34" t="s">
        <v>34</v>
      </c>
      <c r="D48" s="39" t="s">
        <v>118</v>
      </c>
      <c r="E48" s="31" t="s">
        <v>254</v>
      </c>
      <c r="F48" s="31" t="s">
        <v>277</v>
      </c>
      <c r="G48" s="31" t="s">
        <v>278</v>
      </c>
      <c r="H48" s="31" t="s">
        <v>279</v>
      </c>
      <c r="I48" s="28" t="s">
        <v>193</v>
      </c>
      <c r="J48" s="32" t="s">
        <v>280</v>
      </c>
      <c r="K48" s="32" t="s">
        <v>307</v>
      </c>
    </row>
    <row r="49" spans="1:11" ht="43.5" x14ac:dyDescent="0.35">
      <c r="A49" s="28" t="s">
        <v>125</v>
      </c>
      <c r="B49" s="28">
        <v>7</v>
      </c>
      <c r="C49" s="34" t="s">
        <v>34</v>
      </c>
      <c r="D49" s="39" t="s">
        <v>118</v>
      </c>
      <c r="E49" s="31" t="s">
        <v>254</v>
      </c>
      <c r="F49" s="31" t="s">
        <v>281</v>
      </c>
      <c r="G49" s="31" t="s">
        <v>282</v>
      </c>
      <c r="H49" s="31" t="s">
        <v>283</v>
      </c>
      <c r="I49" s="28" t="s">
        <v>14</v>
      </c>
      <c r="J49" s="32" t="s">
        <v>284</v>
      </c>
      <c r="K49" s="32" t="s">
        <v>307</v>
      </c>
    </row>
    <row r="50" spans="1:11" ht="29" x14ac:dyDescent="0.35">
      <c r="A50" s="28" t="s">
        <v>126</v>
      </c>
      <c r="B50" s="28">
        <v>8</v>
      </c>
      <c r="C50" s="34" t="s">
        <v>34</v>
      </c>
      <c r="D50" s="39" t="s">
        <v>118</v>
      </c>
      <c r="E50" s="31" t="s">
        <v>254</v>
      </c>
      <c r="F50" s="31" t="s">
        <v>285</v>
      </c>
      <c r="G50" s="31" t="s">
        <v>286</v>
      </c>
      <c r="H50" s="31" t="s">
        <v>287</v>
      </c>
      <c r="I50" s="28" t="s">
        <v>14</v>
      </c>
      <c r="J50" s="32" t="s">
        <v>288</v>
      </c>
      <c r="K50" s="32" t="s">
        <v>307</v>
      </c>
    </row>
    <row r="51" spans="1:11" ht="29" x14ac:dyDescent="0.35">
      <c r="A51" s="28" t="s">
        <v>127</v>
      </c>
      <c r="B51" s="28">
        <v>9</v>
      </c>
      <c r="C51" s="35" t="s">
        <v>43</v>
      </c>
      <c r="D51" s="39" t="s">
        <v>118</v>
      </c>
      <c r="E51" s="31" t="s">
        <v>254</v>
      </c>
      <c r="F51" s="31" t="s">
        <v>289</v>
      </c>
      <c r="G51" s="31" t="s">
        <v>290</v>
      </c>
      <c r="H51" s="31" t="s">
        <v>291</v>
      </c>
      <c r="I51" s="28" t="s">
        <v>193</v>
      </c>
      <c r="J51" s="32" t="s">
        <v>292</v>
      </c>
      <c r="K51" s="32" t="s">
        <v>307</v>
      </c>
    </row>
    <row r="52" spans="1:11" ht="29" x14ac:dyDescent="0.35">
      <c r="A52" s="28" t="s">
        <v>128</v>
      </c>
      <c r="B52" s="28">
        <v>10</v>
      </c>
      <c r="C52" s="35" t="s">
        <v>43</v>
      </c>
      <c r="D52" s="39" t="s">
        <v>118</v>
      </c>
      <c r="E52" s="31" t="s">
        <v>254</v>
      </c>
      <c r="F52" s="31" t="s">
        <v>293</v>
      </c>
      <c r="G52" s="31" t="s">
        <v>294</v>
      </c>
      <c r="H52" s="31" t="s">
        <v>295</v>
      </c>
      <c r="I52" s="28" t="s">
        <v>14</v>
      </c>
      <c r="J52" s="32" t="s">
        <v>296</v>
      </c>
      <c r="K52" s="32" t="s">
        <v>307</v>
      </c>
    </row>
    <row r="53" spans="1:11" ht="43.5" x14ac:dyDescent="0.35">
      <c r="A53" s="28" t="s">
        <v>129</v>
      </c>
      <c r="B53" s="28">
        <v>11</v>
      </c>
      <c r="C53" s="36" t="s">
        <v>48</v>
      </c>
      <c r="D53" s="39" t="s">
        <v>118</v>
      </c>
      <c r="E53" s="31" t="s">
        <v>254</v>
      </c>
      <c r="F53" s="31" t="s">
        <v>297</v>
      </c>
      <c r="G53" s="31" t="s">
        <v>298</v>
      </c>
      <c r="H53" s="31" t="s">
        <v>128</v>
      </c>
      <c r="I53" s="28" t="s">
        <v>14</v>
      </c>
      <c r="J53" s="32" t="s">
        <v>299</v>
      </c>
      <c r="K53" s="32" t="s">
        <v>307</v>
      </c>
    </row>
    <row r="54" spans="1:11" ht="29" x14ac:dyDescent="0.35">
      <c r="A54" s="28" t="s">
        <v>130</v>
      </c>
      <c r="B54" s="28">
        <v>12</v>
      </c>
      <c r="C54" s="36" t="s">
        <v>48</v>
      </c>
      <c r="D54" s="39" t="s">
        <v>118</v>
      </c>
      <c r="E54" s="31" t="s">
        <v>254</v>
      </c>
      <c r="F54" s="31" t="s">
        <v>300</v>
      </c>
      <c r="G54" s="31" t="s">
        <v>301</v>
      </c>
      <c r="H54" s="31" t="s">
        <v>129</v>
      </c>
      <c r="I54" s="28" t="s">
        <v>193</v>
      </c>
      <c r="J54" s="32" t="s">
        <v>302</v>
      </c>
      <c r="K54" s="32" t="s">
        <v>307</v>
      </c>
    </row>
  </sheetData>
  <autoFilter ref="A1:K54" xr:uid="{00000000-0001-0000-0000-000000000000}"/>
  <dataValidations count="1">
    <dataValidation type="list" allowBlank="1" sqref="I2:I54" xr:uid="{00000000-0002-0000-0000-000000000000}">
      <formula1>"Chưa bắt đầu,Đang làm,Đã xong,Trễ"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5" customWidth="1"/>
    <col min="3" max="5" width="40" customWidth="1"/>
    <col min="6" max="6" width="42.6328125" customWidth="1"/>
  </cols>
  <sheetData>
    <row r="1" spans="1:6" x14ac:dyDescent="0.35">
      <c r="A1" s="1" t="s">
        <v>1</v>
      </c>
      <c r="B1" s="1" t="s">
        <v>2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ht="46" x14ac:dyDescent="0.35">
      <c r="A2" s="2" t="s">
        <v>135</v>
      </c>
      <c r="B2" s="3" t="s">
        <v>10</v>
      </c>
      <c r="C2" s="4" t="s">
        <v>136</v>
      </c>
      <c r="D2" s="5" t="s">
        <v>137</v>
      </c>
      <c r="E2" s="6" t="s">
        <v>138</v>
      </c>
      <c r="F2" s="7" t="s">
        <v>308</v>
      </c>
    </row>
    <row r="3" spans="1:6" ht="46" x14ac:dyDescent="0.35">
      <c r="A3" s="2" t="s">
        <v>139</v>
      </c>
      <c r="B3" s="3" t="s">
        <v>10</v>
      </c>
      <c r="C3" s="4" t="s">
        <v>140</v>
      </c>
      <c r="D3" s="5" t="s">
        <v>141</v>
      </c>
      <c r="E3" s="6" t="s">
        <v>142</v>
      </c>
      <c r="F3" s="7" t="s">
        <v>309</v>
      </c>
    </row>
    <row r="4" spans="1:6" ht="23" x14ac:dyDescent="0.35">
      <c r="A4" s="2" t="s">
        <v>143</v>
      </c>
      <c r="B4" s="8" t="s">
        <v>24</v>
      </c>
      <c r="C4" s="4" t="s">
        <v>144</v>
      </c>
      <c r="D4" s="5" t="s">
        <v>145</v>
      </c>
      <c r="E4" s="6" t="s">
        <v>146</v>
      </c>
      <c r="F4" s="7" t="s">
        <v>310</v>
      </c>
    </row>
    <row r="5" spans="1:6" ht="23" x14ac:dyDescent="0.35">
      <c r="A5" s="2" t="s">
        <v>147</v>
      </c>
      <c r="B5" s="8" t="s">
        <v>24</v>
      </c>
      <c r="C5" s="4" t="s">
        <v>148</v>
      </c>
      <c r="D5" s="5" t="s">
        <v>149</v>
      </c>
      <c r="E5" s="6" t="s">
        <v>150</v>
      </c>
      <c r="F5" s="7" t="s">
        <v>311</v>
      </c>
    </row>
    <row r="6" spans="1:6" ht="23" x14ac:dyDescent="0.35">
      <c r="A6" s="2" t="s">
        <v>151</v>
      </c>
      <c r="B6" s="8" t="s">
        <v>24</v>
      </c>
      <c r="C6" s="4" t="s">
        <v>152</v>
      </c>
      <c r="D6" s="5" t="s">
        <v>153</v>
      </c>
      <c r="E6" s="6" t="s">
        <v>154</v>
      </c>
      <c r="F6" s="7" t="s">
        <v>312</v>
      </c>
    </row>
    <row r="7" spans="1:6" ht="23" x14ac:dyDescent="0.35">
      <c r="A7" s="2" t="s">
        <v>155</v>
      </c>
      <c r="B7" s="9" t="s">
        <v>34</v>
      </c>
      <c r="C7" s="4" t="s">
        <v>156</v>
      </c>
      <c r="D7" s="5" t="s">
        <v>157</v>
      </c>
      <c r="E7" s="6" t="s">
        <v>158</v>
      </c>
      <c r="F7" s="7" t="s">
        <v>313</v>
      </c>
    </row>
    <row r="8" spans="1:6" ht="23" x14ac:dyDescent="0.35">
      <c r="A8" s="2" t="s">
        <v>159</v>
      </c>
      <c r="B8" s="9" t="s">
        <v>34</v>
      </c>
      <c r="C8" s="4" t="s">
        <v>160</v>
      </c>
      <c r="D8" s="5" t="s">
        <v>161</v>
      </c>
      <c r="E8" s="6" t="s">
        <v>162</v>
      </c>
      <c r="F8" s="7" t="s">
        <v>314</v>
      </c>
    </row>
    <row r="9" spans="1:6" ht="23" x14ac:dyDescent="0.35">
      <c r="A9" s="2" t="s">
        <v>163</v>
      </c>
      <c r="B9" s="9" t="s">
        <v>34</v>
      </c>
      <c r="C9" s="4" t="s">
        <v>164</v>
      </c>
      <c r="D9" s="5" t="s">
        <v>165</v>
      </c>
      <c r="E9" s="6" t="s">
        <v>166</v>
      </c>
      <c r="F9" s="7" t="s">
        <v>315</v>
      </c>
    </row>
    <row r="10" spans="1:6" ht="46" x14ac:dyDescent="0.35">
      <c r="A10" s="2" t="s">
        <v>167</v>
      </c>
      <c r="B10" s="10" t="s">
        <v>43</v>
      </c>
      <c r="C10" s="4" t="s">
        <v>168</v>
      </c>
      <c r="D10" s="5" t="s">
        <v>169</v>
      </c>
      <c r="E10" s="6" t="s">
        <v>170</v>
      </c>
      <c r="F10" s="7" t="s">
        <v>316</v>
      </c>
    </row>
    <row r="11" spans="1:6" ht="23" x14ac:dyDescent="0.35">
      <c r="A11" s="2" t="s">
        <v>171</v>
      </c>
      <c r="B11" s="10" t="s">
        <v>43</v>
      </c>
      <c r="C11" s="4" t="s">
        <v>172</v>
      </c>
      <c r="D11" s="5" t="s">
        <v>173</v>
      </c>
      <c r="E11" s="6" t="s">
        <v>174</v>
      </c>
      <c r="F11" s="7" t="s">
        <v>317</v>
      </c>
    </row>
    <row r="12" spans="1:6" ht="23" x14ac:dyDescent="0.35">
      <c r="A12" s="2" t="s">
        <v>175</v>
      </c>
      <c r="B12" s="11" t="s">
        <v>48</v>
      </c>
      <c r="C12" s="4" t="s">
        <v>176</v>
      </c>
      <c r="D12" s="5" t="s">
        <v>177</v>
      </c>
      <c r="E12" s="6" t="s">
        <v>178</v>
      </c>
      <c r="F12" s="7" t="s">
        <v>318</v>
      </c>
    </row>
    <row r="13" spans="1:6" ht="23" x14ac:dyDescent="0.35">
      <c r="A13" s="2" t="s">
        <v>179</v>
      </c>
      <c r="B13" s="11" t="s">
        <v>48</v>
      </c>
      <c r="C13" s="4" t="s">
        <v>180</v>
      </c>
      <c r="D13" s="5" t="s">
        <v>181</v>
      </c>
      <c r="E13" s="6" t="s">
        <v>182</v>
      </c>
      <c r="F13" s="7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60" customWidth="1"/>
  </cols>
  <sheetData>
    <row r="1" spans="1:2" ht="16.5" x14ac:dyDescent="0.35">
      <c r="A1" s="12" t="s">
        <v>183</v>
      </c>
    </row>
    <row r="3" spans="1:2" x14ac:dyDescent="0.35">
      <c r="A3" s="13" t="s">
        <v>184</v>
      </c>
      <c r="B3" s="13" t="s">
        <v>185</v>
      </c>
    </row>
    <row r="4" spans="1:2" ht="25" x14ac:dyDescent="0.35">
      <c r="A4" s="14" t="s">
        <v>186</v>
      </c>
      <c r="B4" s="15" t="s">
        <v>320</v>
      </c>
    </row>
    <row r="5" spans="1:2" ht="25" x14ac:dyDescent="0.35">
      <c r="A5" s="14" t="s">
        <v>187</v>
      </c>
      <c r="B5" s="15" t="s">
        <v>321</v>
      </c>
    </row>
    <row r="6" spans="1:2" x14ac:dyDescent="0.35">
      <c r="A6" s="14" t="s">
        <v>188</v>
      </c>
      <c r="B6" s="15" t="s">
        <v>322</v>
      </c>
    </row>
    <row r="7" spans="1:2" ht="25" x14ac:dyDescent="0.35">
      <c r="A7" s="14" t="s">
        <v>189</v>
      </c>
      <c r="B7" s="15" t="s">
        <v>323</v>
      </c>
    </row>
    <row r="8" spans="1:2" ht="25" x14ac:dyDescent="0.35">
      <c r="A8" s="14" t="s">
        <v>190</v>
      </c>
      <c r="B8" s="15" t="s">
        <v>324</v>
      </c>
    </row>
    <row r="11" spans="1:2" ht="16.5" x14ac:dyDescent="0.35">
      <c r="A11" s="12" t="s">
        <v>191</v>
      </c>
    </row>
    <row r="12" spans="1:2" x14ac:dyDescent="0.35">
      <c r="A12" s="13" t="s">
        <v>8</v>
      </c>
      <c r="B12" s="13" t="s">
        <v>192</v>
      </c>
    </row>
    <row r="13" spans="1:2" x14ac:dyDescent="0.35">
      <c r="A13" s="16" t="s">
        <v>14</v>
      </c>
      <c r="B13" s="17">
        <f>COUNTIF('Danh sách công việc'!$I$2:$I$54,"Chưa bắt đầu")</f>
        <v>45</v>
      </c>
    </row>
    <row r="14" spans="1:2" x14ac:dyDescent="0.35">
      <c r="A14" s="16" t="s">
        <v>193</v>
      </c>
      <c r="B14" s="17">
        <f>COUNTIF('Danh sách công việc'!$I$2:$I$54,"Đang làm")</f>
        <v>7</v>
      </c>
    </row>
    <row r="15" spans="1:2" x14ac:dyDescent="0.35">
      <c r="A15" s="16" t="s">
        <v>194</v>
      </c>
      <c r="B15" s="17">
        <f>COUNTIF('Danh sách công việc'!$I$2:$I$54,"Đã xong")</f>
        <v>1</v>
      </c>
    </row>
    <row r="16" spans="1:2" x14ac:dyDescent="0.35">
      <c r="A16" s="16" t="s">
        <v>195</v>
      </c>
      <c r="B16" s="17">
        <f>COUNTIF('Danh sách công việc'!$I$2:$I$54,"Trễ")</f>
        <v>0</v>
      </c>
    </row>
    <row r="17" spans="1:2" x14ac:dyDescent="0.35">
      <c r="A17" s="18" t="s">
        <v>196</v>
      </c>
      <c r="B17" s="19">
        <f>SUM(B13:B16)</f>
        <v>53</v>
      </c>
    </row>
    <row r="19" spans="1:2" x14ac:dyDescent="0.35">
      <c r="A19" s="20" t="s">
        <v>197</v>
      </c>
      <c r="B19" s="21">
        <f>IFERROR(B15/B17,0)</f>
        <v>1.8867924528301886E-2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Kiến trúc Desktop</vt:lpstr>
      <vt:lpstr>Danh sách công việc</vt:lpstr>
      <vt:lpstr>Lịch theo tuần</vt:lpstr>
      <vt:lpstr>Mốc &amp; 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2026-07-05T09:35:37Z</dcterms:created>
  <dcterms:modified xsi:type="dcterms:W3CDTF">2026-07-15T10:28:52Z</dcterms:modified>
  <dc:language>en-US</dc:language>
</cp:coreProperties>
</file>